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<sst xmlns="http://schemas.openxmlformats.org/spreadsheetml/2006/main" count="190" uniqueCount="190">
  <si>
    <t>SALES DETAIL BREAKDOWN</t>
  </si>
  <si>
    <t>Venue:</t>
  </si>
  <si>
    <t>Tillbrook Melaleuka Group</t>
  </si>
  <si>
    <t>From Date:</t>
  </si>
  <si>
    <t>17/11/2025</t>
  </si>
  <si>
    <t>To Date:</t>
  </si>
  <si>
    <t>30/11/2025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</si>
  <si>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</si>
  <si>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</si>
  <si>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</si>
  <si>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</si>
  <si>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</si>
  <si>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</si>
  <si>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</si>
  <si>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</si>
  <si>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</si>
  <si>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</si>
  <si>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</si>
  <si>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</si>
  <si>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</si>
  <si>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</si>
  <si>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</si>
  <si>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</si>
  <si>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</si>
  <si>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</si>
  <si>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</si>
  <si>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</si>
  <si>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</si>
  <si>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Beef Bacon (PIECES)</t>
  </si>
  <si>
    <t>WHL Beef Bacon (PIECES)(MFM) - WHL 1470</t>
  </si>
  <si>
    <t>Beef Bacon (SLICED)</t>
  </si>
  <si>
    <t>WHL Beef Bacon (SLICED)(MFM) - WHL 1471</t>
  </si>
  <si>
    <t>Beef Billtong</t>
  </si>
  <si>
    <t>Beef Biltong (MFM) - 1495</t>
  </si>
  <si>
    <t>Beef Bones - Soup</t>
  </si>
  <si>
    <t>WHL Beef Bones - Soup (MFM) - WHL 1900</t>
  </si>
  <si>
    <t>Beef Brisket - MB</t>
  </si>
  <si>
    <t>Beef Brisket - MB (MFM) - 1250</t>
  </si>
  <si>
    <t>Beef Brisket - Melaleuka Farm</t>
  </si>
  <si>
    <t>WHL Beef Brisket - Melaleuka Farm (MFM) - WHL 1250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</si>
  <si>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</si>
  <si>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</si>
  <si>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</si>
  <si>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</si>
  <si>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</si>
  <si>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</si>
  <si>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Burgers 100g</t>
  </si>
  <si>
    <t>Beef Burger 100 grams, KG (MFM) - 1051</t>
  </si>
  <si>
    <t>Beef Chorizo</t>
  </si>
  <si>
    <t>Beef Chorizo (MFM) - 1490</t>
  </si>
  <si>
    <t>WHL Beef Chorizo (MFM) - WHL 1490</t>
  </si>
  <si>
    <t>Beef Fat</t>
  </si>
  <si>
    <t>WHL Beef Fat (MFM) - WHL 1903</t>
  </si>
  <si>
    <t>Beef Kransky - Cheese 2</t>
  </si>
  <si>
    <t>Beef Kransky - Cheese 2 (MFM) - ss_cheesekranksy</t>
  </si>
  <si>
    <t>Beef Schnitzel - 200 grams</t>
  </si>
  <si>
    <t>QP Beef Schnitzel 200 grams (MFM) - QP 7109</t>
  </si>
  <si>
    <t>Beef Stir-fry Strips 500g</t>
  </si>
  <si>
    <t>Beef Stir-Fry Strips 500g (MFM) - ss_500stirfry</t>
  </si>
  <si>
    <t>Beef Tendons</t>
  </si>
  <si>
    <t>WHL Beef Tendons (MFM) - WHL 1902</t>
  </si>
  <si>
    <t>Bolar Blade</t>
  </si>
  <si>
    <t>WHL Bolar Blade (MFM) - WHL 1375</t>
  </si>
  <si>
    <t>Bolognaise</t>
  </si>
  <si>
    <t>WHL 7113 Bolognaise, KG (MFM)</t>
  </si>
  <si>
    <t>Cheese Kransky</t>
  </si>
  <si>
    <t>WHL Cheese Kransky (MFM) - WHL 1431</t>
  </si>
  <si>
    <t>Cheese Kransky (MFM) - 1431</t>
  </si>
  <si>
    <t>Chilli Beef Jerky</t>
  </si>
  <si>
    <t>Chilli Beef Jerky (MFM) - 1494</t>
  </si>
  <si>
    <t>Chipotle Ketchup</t>
  </si>
  <si>
    <t>WHL 7008 Chipotle Ketchup - KG (MFM)</t>
  </si>
  <si>
    <t>Chuck (diced)</t>
  </si>
  <si>
    <t>WHL Chuck (diced) (MFM) - WHL 1371</t>
  </si>
  <si>
    <t>Chuck Steaks/Chuck Roll</t>
  </si>
  <si>
    <t>WHL Chuck Steaks/Chuck Roll (MFM) - WHL 1370</t>
  </si>
  <si>
    <t>CUSTOM_AMOUNT</t>
  </si>
  <si>
    <t>None</t>
  </si>
  <si>
    <t>⚠️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</si>
  <si>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</si>
  <si>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</si>
  <si>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</si>
  <si>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</si>
  <si>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DBC Rump - 250 grams</t>
  </si>
  <si>
    <t>QP MSA Rump, 250g (DBC) - QP 5305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</si>
  <si>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</si>
  <si>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</si>
  <si>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</si>
  <si>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</si>
  <si>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BBQ Sausages 5</t>
  </si>
  <si>
    <t>Gourmet Beef BBQ Sausages 5 (MFM) - ss_BBQsausages</t>
  </si>
  <si>
    <t>Gourmet Sausages-Herb &amp; Garlic</t>
  </si>
  <si>
    <t>Gourmet Sausages - Herb &amp; Garlic (MFM) - 1420</t>
  </si>
  <si>
    <t>WHL Gourmet Sausages-Herb &amp; Garlic (MFM) - WHL 1420</t>
  </si>
  <si>
    <t>Gourmet Sausages-Jpno &amp; Chedda</t>
  </si>
  <si>
    <t>Gourmet Sausages - Jalapeno &amp; Cheese (MFM) - 1425</t>
  </si>
  <si>
    <t>WHL Gourmet Sausages-Jpno &amp; Cheddar (MFM) - WHL 1425</t>
  </si>
  <si>
    <t>Intercostals</t>
  </si>
  <si>
    <t>WHL Intercostals (MFM) - WHL 1020</t>
  </si>
  <si>
    <t>Korean Sweet Chilli Sauce</t>
  </si>
  <si>
    <t>WHL 7017 Korean Sweet Chilli Sauce- KG (MFM)</t>
  </si>
  <si>
    <t>Kransky Chilli &amp; Cheese - MB</t>
  </si>
  <si>
    <t>Chilli Cheese Kransky (MFM) - 1430</t>
  </si>
  <si>
    <t>Meat Box - Weekday Dinner Default Title</t>
  </si>
  <si>
    <t>Meat Box - Weekday Dinner (MFM) - ss_weekdayMB</t>
  </si>
  <si>
    <t>Melaleuka Farm BBQ Sausages</t>
  </si>
  <si>
    <t>Melaleuka Farm BBQ Sausages (MFM) - 1400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</si>
  <si>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</si>
  <si>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</si>
  <si>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</si>
  <si>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</si>
  <si>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</si>
  <si>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</si>
  <si>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</si>
  <si>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</si>
  <si>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</si>
  <si>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</si>
  <si>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</si>
  <si>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</si>
  <si>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- 300 grams</t>
  </si>
  <si>
    <t>QP Melaleuka Farm Scotch 300 grams (MFM) - QP 1310.5</t>
  </si>
  <si>
    <t>Melaleuka Farm Scotch Fillet</t>
  </si>
  <si>
    <t>WHL Melaleuka Farm Scotch Fillet (MFM) - WHL 1310</t>
  </si>
  <si>
    <t>Melaleuka Farm Sirloin - 250 grams</t>
  </si>
  <si>
    <t>QP Melaleuka Farm Sirloin 250 grams (MFM) - QP 1315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</si>
  <si>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</si>
  <si>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</si>
  <si>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</si>
  <si>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</si>
  <si>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</si>
  <si>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</si>
  <si>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</si>
  <si>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</si>
  <si>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</si>
  <si>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Oyster Blade - Melaleuka Farm</t>
  </si>
  <si>
    <t>WHL Oyster Blade - Melaleuka Farm (MFM) - WHL 1330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</si>
  <si>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</si>
  <si>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</si>
  <si>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</si>
  <si>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</si>
  <si>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</si>
  <si>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</si>
  <si>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</si>
  <si>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</si>
  <si>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QP Melaleuka Farm Rump 200 grams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</si>
  <si>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</si>
  <si>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</si>
  <si>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</si>
  <si>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</si>
  <si>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</si>
  <si>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</si>
  <si>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Rendered Bone Marrow</t>
  </si>
  <si>
    <t>Rendered Bone Marrow - KG (MFM) WHL 7129</t>
  </si>
  <si>
    <t>Rib-eye - Melaleuka Farm</t>
  </si>
  <si>
    <t>WHL Rib-eye - Melaleuka Farm (MFM) - WHL 1340</t>
  </si>
  <si>
    <t>Rump Steak 500g</t>
  </si>
  <si>
    <t>Rump Steak 500g (MFM) - ss_rumpsteak</t>
  </si>
  <si>
    <t>Salami (PIECES)</t>
  </si>
  <si>
    <t>WHL Salami (PIECES)(MFM) - WHL 1465</t>
  </si>
  <si>
    <t>Salami (SLICED)</t>
  </si>
  <si>
    <t>Salami (SLICED)(MFM) - 1466</t>
  </si>
  <si>
    <t>Sausage Meat</t>
  </si>
  <si>
    <t>WHL Sausage Meat (MFM) - WHL 1401</t>
  </si>
  <si>
    <t>Scotch Fillet 500g</t>
  </si>
  <si>
    <t>Scotch Fillet 500g (MFM) - ss_scotchfillet</t>
  </si>
  <si>
    <t>Skewer Meat</t>
  </si>
  <si>
    <t>WHL Skewer Meat (MFM) - WHL 1306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</si>
  <si>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</si>
  <si>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</si>
  <si>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</si>
  <si>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</si>
  <si>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</si>
  <si>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</si>
  <si>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Tartar Sauce</t>
  </si>
  <si>
    <t>WHL 7014- Tartar Sauce- KG (MFM)</t>
  </si>
  <si>
    <t>Tomahawk - Melaleuka Farm</t>
  </si>
  <si>
    <t>WHL Tomahawk - Melaleuka Farm (MFM) - WHL 1345</t>
  </si>
  <si>
    <t>Tomahawk 1kg</t>
  </si>
  <si>
    <t>Tomahawk 1kg (MFM) - ss_tomahawk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</si>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</sst>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138.21</v>
      </c>
      <c r="E7" s="19">
        <v>1158.1998</v>
      </c>
      <c r="F7" s="16">
        <v>13</v>
      </c>
      <c r="G7" s="16">
        <v>1749.93</v>
      </c>
      <c r="H7" s="16">
        <v>0</v>
      </c>
      <c r="I7" s="16">
        <v>1749.93</v>
      </c>
      <c r="J7" s="20">
        <v>0.6619</v>
      </c>
      <c r="K7" s="20">
        <v>0.3381</v>
      </c>
    </row>
    <row r="8" s="3" customFormat="1">
      <c r="A8" s="3" t="s">
        <v>20</v>
      </c>
      <c r="B8" s="14" t="s">
        <v>21</v>
      </c>
      <c r="C8" s="15">
        <v>6.6</v>
      </c>
      <c r="D8" s="3">
        <v>161.5</v>
      </c>
      <c r="E8" s="19">
        <v>1065.8999999999999</v>
      </c>
      <c r="F8" s="16">
        <v>4</v>
      </c>
      <c r="G8" s="16">
        <v>646</v>
      </c>
      <c r="H8" s="16">
        <v>0</v>
      </c>
      <c r="I8" s="16">
        <v>646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92.5</v>
      </c>
      <c r="E9" s="19">
        <v>989.74999999999989</v>
      </c>
      <c r="F9" s="16">
        <v>7.5</v>
      </c>
      <c r="G9" s="16">
        <v>693.75</v>
      </c>
      <c r="H9" s="16">
        <v>0</v>
      </c>
      <c r="I9" s="16">
        <v>693.75</v>
      </c>
      <c r="J9" s="20">
        <v>1.4267</v>
      </c>
      <c r="K9" s="20">
        <v>-0.4267</v>
      </c>
    </row>
    <row r="10" s="3" customFormat="1">
      <c r="A10" s="3" t="s">
        <v>24</v>
      </c>
      <c r="B10" s="14" t="s">
        <v>25</v>
      </c>
      <c r="C10" s="15">
        <v>7.37</v>
      </c>
      <c r="D10" s="3">
        <v>269.295</v>
      </c>
      <c r="E10" s="19">
        <v>1984.7041500000003</v>
      </c>
      <c r="F10" s="16">
        <v>10</v>
      </c>
      <c r="G10" s="16">
        <v>2692.95</v>
      </c>
      <c r="H10" s="16">
        <v>0</v>
      </c>
      <c r="I10" s="16">
        <v>2692.95</v>
      </c>
      <c r="J10" s="20">
        <v>0.737</v>
      </c>
      <c r="K10" s="20">
        <v>0.263</v>
      </c>
    </row>
    <row r="11" s="3" customFormat="1">
      <c r="A11" s="3" t="s">
        <v>26</v>
      </c>
      <c r="B11" s="14" t="s">
        <v>27</v>
      </c>
      <c r="C11" s="15">
        <v>7.91</v>
      </c>
      <c r="D11" s="3">
        <v>89.15</v>
      </c>
      <c r="E11" s="19">
        <v>705.1765</v>
      </c>
      <c r="F11" s="16">
        <v>11.5</v>
      </c>
      <c r="G11" s="16">
        <v>1025.26</v>
      </c>
      <c r="H11" s="16">
        <v>0</v>
      </c>
      <c r="I11" s="16">
        <v>1025.26</v>
      </c>
      <c r="J11" s="20">
        <v>0.6878</v>
      </c>
      <c r="K11" s="20">
        <v>0.3122</v>
      </c>
    </row>
    <row r="12" s="3" customFormat="1">
      <c r="A12" s="3" t="s">
        <v>28</v>
      </c>
      <c r="B12" s="14" t="s">
        <v>29</v>
      </c>
      <c r="C12" s="15">
        <v>25.28</v>
      </c>
      <c r="D12" s="3">
        <v>3.9</v>
      </c>
      <c r="E12" s="19">
        <v>98.592</v>
      </c>
      <c r="F12" s="16">
        <v>34.9</v>
      </c>
      <c r="G12" s="16">
        <v>136.11</v>
      </c>
      <c r="H12" s="16">
        <v>0</v>
      </c>
      <c r="I12" s="16">
        <v>136.11</v>
      </c>
      <c r="J12" s="20">
        <v>0.7244</v>
      </c>
      <c r="K12" s="20">
        <v>0.2756</v>
      </c>
    </row>
    <row r="13" s="3" customFormat="1">
      <c r="A13" s="3" t="s">
        <v>30</v>
      </c>
      <c r="B13" s="14" t="s">
        <v>31</v>
      </c>
      <c r="C13" s="15">
        <v>25.28</v>
      </c>
      <c r="D13" s="3">
        <v>4.145</v>
      </c>
      <c r="E13" s="19">
        <v>104.78559999999999</v>
      </c>
      <c r="F13" s="16">
        <v>44.9</v>
      </c>
      <c r="G13" s="16">
        <v>186.12</v>
      </c>
      <c r="H13" s="16">
        <v>0</v>
      </c>
      <c r="I13" s="16">
        <v>186.12</v>
      </c>
      <c r="J13" s="20">
        <v>0.563</v>
      </c>
      <c r="K13" s="20">
        <v>0.437</v>
      </c>
    </row>
    <row r="14" s="3" customFormat="1">
      <c r="A14" s="3" t="s">
        <v>32</v>
      </c>
      <c r="B14" s="14" t="s">
        <v>33</v>
      </c>
      <c r="C14" s="15">
        <v>5.79</v>
      </c>
      <c r="D14" s="3">
        <v>40</v>
      </c>
      <c r="E14" s="19">
        <v>231.6</v>
      </c>
      <c r="F14" s="16">
        <v>9.9</v>
      </c>
      <c r="G14" s="16">
        <v>396</v>
      </c>
      <c r="H14" s="16">
        <v>0</v>
      </c>
      <c r="I14" s="16">
        <v>396</v>
      </c>
      <c r="J14" s="20">
        <v>0.5848</v>
      </c>
      <c r="K14" s="20">
        <v>0.4152</v>
      </c>
    </row>
    <row r="15" s="3" customFormat="1">
      <c r="A15" s="3" t="s">
        <v>34</v>
      </c>
      <c r="B15" s="14" t="s">
        <v>35</v>
      </c>
      <c r="C15" s="15">
        <v>1.76</v>
      </c>
      <c r="D15" s="3">
        <v>216.98</v>
      </c>
      <c r="E15" s="19">
        <v>381.8848</v>
      </c>
      <c r="F15" s="16">
        <v>1.5</v>
      </c>
      <c r="G15" s="16">
        <v>325.47</v>
      </c>
      <c r="H15" s="16">
        <v>0</v>
      </c>
      <c r="I15" s="16">
        <v>325.47</v>
      </c>
      <c r="J15" s="20">
        <v>1.1733</v>
      </c>
      <c r="K15" s="20">
        <v>-0.1733</v>
      </c>
    </row>
    <row r="16" s="3" customFormat="1">
      <c r="A16" s="3" t="s">
        <v>36</v>
      </c>
      <c r="B16" s="14" t="s">
        <v>37</v>
      </c>
      <c r="C16" s="15">
        <v>16</v>
      </c>
      <c r="D16" s="3">
        <v>4.91</v>
      </c>
      <c r="E16" s="19">
        <v>78.56</v>
      </c>
      <c r="F16" s="16">
        <v>19.9</v>
      </c>
      <c r="G16" s="16">
        <v>97.94</v>
      </c>
      <c r="H16" s="16">
        <v>0</v>
      </c>
      <c r="I16" s="16">
        <v>87.71</v>
      </c>
      <c r="J16" s="20">
        <v>0.8957</v>
      </c>
      <c r="K16" s="20">
        <v>0.1043</v>
      </c>
    </row>
    <row r="17" s="3" customFormat="1">
      <c r="A17" s="3" t="s">
        <v>38</v>
      </c>
      <c r="B17" s="14" t="s">
        <v>39</v>
      </c>
      <c r="C17" s="15">
        <v>16</v>
      </c>
      <c r="D17" s="3">
        <v>37.04</v>
      </c>
      <c r="E17" s="19">
        <v>592.64</v>
      </c>
      <c r="F17" s="16">
        <v>19.9</v>
      </c>
      <c r="G17" s="16">
        <v>737.09</v>
      </c>
      <c r="H17" s="16">
        <v>0</v>
      </c>
      <c r="I17" s="16">
        <v>737.09</v>
      </c>
      <c r="J17" s="20">
        <v>0.804</v>
      </c>
      <c r="K17" s="20">
        <v>0.196</v>
      </c>
    </row>
    <row r="18" s="3" customFormat="1">
      <c r="A18" s="3" t="s">
        <v>40</v>
      </c>
      <c r="B18" s="14" t="s">
        <v>41</v>
      </c>
      <c r="C18" s="15">
        <v>78.79</v>
      </c>
      <c r="D18" s="3">
        <v>18</v>
      </c>
      <c r="E18" s="19">
        <v>1418.22</v>
      </c>
      <c r="F18" s="16">
        <v>95</v>
      </c>
      <c r="G18" s="16">
        <v>1710</v>
      </c>
      <c r="H18" s="16">
        <v>0</v>
      </c>
      <c r="I18" s="16">
        <v>1710</v>
      </c>
      <c r="J18" s="20">
        <v>0.8294</v>
      </c>
      <c r="K18" s="20">
        <v>0.1706</v>
      </c>
    </row>
    <row r="19" s="3" customFormat="1">
      <c r="A19" s="3" t="s">
        <v>42</v>
      </c>
      <c r="B19" s="14" t="s">
        <v>43</v>
      </c>
      <c r="C19" s="15">
        <v>1.68</v>
      </c>
      <c r="D19" s="3">
        <v>10</v>
      </c>
      <c r="E19" s="19">
        <v>16.8</v>
      </c>
      <c r="F19" s="16">
        <v>4</v>
      </c>
      <c r="G19" s="16">
        <v>40</v>
      </c>
      <c r="H19" s="16">
        <v>3.64</v>
      </c>
      <c r="I19" s="16">
        <v>40</v>
      </c>
      <c r="J19" s="20">
        <v>0.462</v>
      </c>
      <c r="K19" s="20">
        <v>0.538</v>
      </c>
    </row>
    <row r="20" s="3" customFormat="1">
      <c r="A20" s="3" t="s">
        <v>44</v>
      </c>
      <c r="B20" s="14" t="s">
        <v>45</v>
      </c>
      <c r="C20" s="15">
        <v>81.54</v>
      </c>
      <c r="D20" s="3">
        <v>23</v>
      </c>
      <c r="E20" s="19">
        <v>1875.42</v>
      </c>
      <c r="F20" s="16">
        <v>120</v>
      </c>
      <c r="G20" s="16">
        <v>2280</v>
      </c>
      <c r="H20" s="16">
        <v>0</v>
      </c>
      <c r="I20" s="16">
        <v>2280</v>
      </c>
      <c r="J20" s="20">
        <v>0.8226</v>
      </c>
      <c r="K20" s="20">
        <v>0.1774</v>
      </c>
    </row>
    <row r="21" s="3" customFormat="1">
      <c r="A21" s="3" t="s">
        <v>46</v>
      </c>
      <c r="B21" s="14" t="s">
        <v>47</v>
      </c>
      <c r="C21" s="15">
        <v>9.38</v>
      </c>
      <c r="D21" s="3">
        <v>86.18</v>
      </c>
      <c r="E21" s="19">
        <v>808.36840000000018</v>
      </c>
      <c r="F21" s="16">
        <v>12.5</v>
      </c>
      <c r="G21" s="16">
        <v>1077.25</v>
      </c>
      <c r="H21" s="16">
        <v>0</v>
      </c>
      <c r="I21" s="16">
        <v>1077.25</v>
      </c>
      <c r="J21" s="20">
        <v>0.7504</v>
      </c>
      <c r="K21" s="20">
        <v>0.2496</v>
      </c>
    </row>
    <row r="22" s="3" customFormat="1">
      <c r="A22" s="3" t="s">
        <v>48</v>
      </c>
      <c r="B22" s="14" t="s">
        <v>49</v>
      </c>
      <c r="C22" s="15">
        <v>29.67</v>
      </c>
      <c r="D22" s="3">
        <v>1.987</v>
      </c>
      <c r="E22" s="19">
        <v>58.954290000000007</v>
      </c>
      <c r="F22" s="16">
        <v>34.9</v>
      </c>
      <c r="G22" s="16">
        <v>69.35</v>
      </c>
      <c r="H22" s="16">
        <v>0</v>
      </c>
      <c r="I22" s="16">
        <v>69.35</v>
      </c>
      <c r="J22" s="20">
        <v>0.8501</v>
      </c>
      <c r="K22" s="20">
        <v>0.1499</v>
      </c>
    </row>
    <row r="23" s="3" customFormat="1">
      <c r="A23" s="3" t="s">
        <v>48</v>
      </c>
      <c r="B23" s="14" t="s">
        <v>50</v>
      </c>
      <c r="C23" s="15">
        <v>29.67</v>
      </c>
      <c r="D23" s="3">
        <v>89.905</v>
      </c>
      <c r="E23" s="19">
        <v>2667.48135</v>
      </c>
      <c r="F23" s="16">
        <v>29.246148712529891</v>
      </c>
      <c r="G23" s="16">
        <v>2629.39</v>
      </c>
      <c r="H23" s="16">
        <v>0</v>
      </c>
      <c r="I23" s="16">
        <v>2629.39</v>
      </c>
      <c r="J23" s="20">
        <v>1.0145</v>
      </c>
      <c r="K23" s="20">
        <v>-0.0145</v>
      </c>
    </row>
    <row r="24" s="3" customFormat="1">
      <c r="A24" s="3" t="s">
        <v>51</v>
      </c>
      <c r="B24" s="14" t="s">
        <v>52</v>
      </c>
      <c r="C24" s="15">
        <v>9</v>
      </c>
      <c r="D24" s="3">
        <v>12.32</v>
      </c>
      <c r="E24" s="19">
        <v>110.88</v>
      </c>
      <c r="F24" s="16">
        <v>2</v>
      </c>
      <c r="G24" s="16">
        <v>24.64</v>
      </c>
      <c r="H24" s="16">
        <v>0</v>
      </c>
      <c r="I24" s="16">
        <v>24.64</v>
      </c>
      <c r="J24" s="20">
        <v>4.5</v>
      </c>
      <c r="K24" s="20">
        <v>-3.5</v>
      </c>
    </row>
    <row r="25" s="3" customFormat="1">
      <c r="A25" s="3" t="s">
        <v>53</v>
      </c>
      <c r="B25" s="14" t="s">
        <v>54</v>
      </c>
      <c r="C25" s="15">
        <v>7.72</v>
      </c>
      <c r="D25" s="3">
        <v>5</v>
      </c>
      <c r="E25" s="19">
        <v>38.6</v>
      </c>
      <c r="F25" s="16">
        <v>12</v>
      </c>
      <c r="G25" s="16">
        <v>60</v>
      </c>
      <c r="H25" s="16">
        <v>5.45</v>
      </c>
      <c r="I25" s="16">
        <v>60</v>
      </c>
      <c r="J25" s="20">
        <v>0.7076</v>
      </c>
      <c r="K25" s="20">
        <v>0.2924</v>
      </c>
    </row>
    <row r="26" s="3" customFormat="1">
      <c r="A26" s="3" t="s">
        <v>55</v>
      </c>
      <c r="B26" s="14" t="s">
        <v>56</v>
      </c>
      <c r="C26" s="15">
        <v>3.19</v>
      </c>
      <c r="D26" s="3">
        <v>773</v>
      </c>
      <c r="E26" s="19">
        <v>2465.87</v>
      </c>
      <c r="F26" s="16">
        <v>3.5</v>
      </c>
      <c r="G26" s="16">
        <v>2705.5</v>
      </c>
      <c r="H26" s="16">
        <v>0</v>
      </c>
      <c r="I26" s="16">
        <v>2705.5</v>
      </c>
      <c r="J26" s="20">
        <v>0.9114</v>
      </c>
      <c r="K26" s="20">
        <v>0.0886</v>
      </c>
    </row>
    <row r="27" s="3" customFormat="1">
      <c r="A27" s="3" t="s">
        <v>57</v>
      </c>
      <c r="B27" s="14" t="s">
        <v>58</v>
      </c>
      <c r="C27" s="15">
        <v>6.6</v>
      </c>
      <c r="D27" s="3">
        <v>1</v>
      </c>
      <c r="E27" s="19">
        <v>6.6</v>
      </c>
      <c r="F27" s="16">
        <v>12.5</v>
      </c>
      <c r="G27" s="16">
        <v>12.5</v>
      </c>
      <c r="H27" s="16">
        <v>1.14</v>
      </c>
      <c r="I27" s="16">
        <v>12.5</v>
      </c>
      <c r="J27" s="20">
        <v>0.581</v>
      </c>
      <c r="K27" s="20">
        <v>0.419</v>
      </c>
    </row>
    <row r="28" s="3" customFormat="1">
      <c r="A28" s="3" t="s">
        <v>59</v>
      </c>
      <c r="B28" s="14" t="s">
        <v>60</v>
      </c>
      <c r="C28" s="15">
        <v>7.5</v>
      </c>
      <c r="D28" s="3">
        <v>4.045</v>
      </c>
      <c r="E28" s="19">
        <v>30.3375</v>
      </c>
      <c r="F28" s="16">
        <v>4</v>
      </c>
      <c r="G28" s="16">
        <v>16.18</v>
      </c>
      <c r="H28" s="16">
        <v>0</v>
      </c>
      <c r="I28" s="16">
        <v>16.18</v>
      </c>
      <c r="J28" s="20">
        <v>1.875</v>
      </c>
      <c r="K28" s="20">
        <v>-0.875</v>
      </c>
    </row>
    <row r="29" s="3" customFormat="1">
      <c r="A29" s="3" t="s">
        <v>61</v>
      </c>
      <c r="B29" s="14" t="s">
        <v>62</v>
      </c>
      <c r="C29" s="15">
        <v>12.29</v>
      </c>
      <c r="D29" s="3">
        <v>10.09</v>
      </c>
      <c r="E29" s="19">
        <v>124.00609999999999</v>
      </c>
      <c r="F29" s="16">
        <v>13.5</v>
      </c>
      <c r="G29" s="16">
        <v>136.22</v>
      </c>
      <c r="H29" s="16">
        <v>0</v>
      </c>
      <c r="I29" s="16">
        <v>136.22</v>
      </c>
      <c r="J29" s="20">
        <v>0.9103</v>
      </c>
      <c r="K29" s="20">
        <v>0.0897</v>
      </c>
    </row>
    <row r="30" s="3" customFormat="1">
      <c r="A30" s="3" t="s">
        <v>63</v>
      </c>
      <c r="B30" s="14" t="s">
        <v>64</v>
      </c>
      <c r="C30" s="15">
        <v>4.68</v>
      </c>
      <c r="D30" s="3">
        <v>27.72</v>
      </c>
      <c r="E30" s="19">
        <v>129.72959999999998</v>
      </c>
      <c r="F30" s="16">
        <v>11</v>
      </c>
      <c r="G30" s="16">
        <v>304.93</v>
      </c>
      <c r="H30" s="16">
        <v>0</v>
      </c>
      <c r="I30" s="16">
        <v>304.93</v>
      </c>
      <c r="J30" s="20">
        <v>0.4254</v>
      </c>
      <c r="K30" s="20">
        <v>0.5746</v>
      </c>
    </row>
    <row r="31" s="3" customFormat="1">
      <c r="A31" s="3" t="s">
        <v>65</v>
      </c>
      <c r="B31" s="14" t="s">
        <v>66</v>
      </c>
      <c r="C31" s="15">
        <v>22.06</v>
      </c>
      <c r="D31" s="3">
        <v>47.59</v>
      </c>
      <c r="E31" s="19">
        <v>1049.8354</v>
      </c>
      <c r="F31" s="16">
        <v>27.825173355747005</v>
      </c>
      <c r="G31" s="16">
        <v>1324.2</v>
      </c>
      <c r="H31" s="16">
        <v>0</v>
      </c>
      <c r="I31" s="16">
        <v>1324.2</v>
      </c>
      <c r="J31" s="20">
        <v>0.7928</v>
      </c>
      <c r="K31" s="20">
        <v>0.2072</v>
      </c>
    </row>
    <row r="32" s="3" customFormat="1">
      <c r="A32" s="3" t="s">
        <v>65</v>
      </c>
      <c r="B32" s="14" t="s">
        <v>67</v>
      </c>
      <c r="C32" s="15">
        <v>22.06</v>
      </c>
      <c r="D32" s="3">
        <v>2.538</v>
      </c>
      <c r="E32" s="19">
        <v>55.988279999999996</v>
      </c>
      <c r="F32" s="16">
        <v>34.9</v>
      </c>
      <c r="G32" s="16">
        <v>88.58</v>
      </c>
      <c r="H32" s="16">
        <v>0</v>
      </c>
      <c r="I32" s="16">
        <v>88.58</v>
      </c>
      <c r="J32" s="20">
        <v>0.6321</v>
      </c>
      <c r="K32" s="20">
        <v>0.3679</v>
      </c>
    </row>
    <row r="33" s="3" customFormat="1">
      <c r="A33" s="3" t="s">
        <v>68</v>
      </c>
      <c r="B33" s="14" t="s">
        <v>69</v>
      </c>
      <c r="C33" s="15">
        <v>6.14</v>
      </c>
      <c r="D33" s="3">
        <v>40</v>
      </c>
      <c r="E33" s="19">
        <v>245.6</v>
      </c>
      <c r="F33" s="16">
        <v>9.9</v>
      </c>
      <c r="G33" s="16">
        <v>396</v>
      </c>
      <c r="H33" s="16">
        <v>0</v>
      </c>
      <c r="I33" s="16">
        <v>396</v>
      </c>
      <c r="J33" s="20">
        <v>0.6202</v>
      </c>
      <c r="K33" s="20">
        <v>0.3798</v>
      </c>
    </row>
    <row r="34" s="3" customFormat="1">
      <c r="A34" s="3" t="s">
        <v>70</v>
      </c>
      <c r="B34" s="14" t="s">
        <v>71</v>
      </c>
      <c r="C34" s="15">
        <v>3.71</v>
      </c>
      <c r="D34" s="3">
        <v>58.715</v>
      </c>
      <c r="E34" s="19">
        <v>217.83265</v>
      </c>
      <c r="F34" s="16">
        <v>11</v>
      </c>
      <c r="G34" s="16">
        <v>645.9</v>
      </c>
      <c r="H34" s="16">
        <v>0</v>
      </c>
      <c r="I34" s="16">
        <v>645.9</v>
      </c>
      <c r="J34" s="20">
        <v>0.3373</v>
      </c>
      <c r="K34" s="20">
        <v>0.6627</v>
      </c>
    </row>
    <row r="35">
      <c r="A35" s="3" t="s">
        <v>72</v>
      </c>
      <c r="B35" s="14" t="s">
        <v>73</v>
      </c>
      <c r="C35" s="15">
        <v>13.45</v>
      </c>
      <c r="D35" s="3">
        <v>15.1</v>
      </c>
      <c r="E35" s="19">
        <v>203.09499999999997</v>
      </c>
      <c r="F35" s="16">
        <v>18.5</v>
      </c>
      <c r="G35" s="16">
        <v>279.35</v>
      </c>
      <c r="H35" s="16">
        <v>0</v>
      </c>
      <c r="I35" s="16">
        <v>279.35</v>
      </c>
      <c r="J35" s="20">
        <v>0.727</v>
      </c>
      <c r="K35" s="20">
        <v>0.273</v>
      </c>
    </row>
    <row r="36">
      <c r="A36" s="3" t="s">
        <v>74</v>
      </c>
      <c r="B36" s="14" t="s">
        <v>75</v>
      </c>
      <c r="C36" s="15">
        <v>13.45</v>
      </c>
      <c r="D36" s="3">
        <v>74.285</v>
      </c>
      <c r="E36" s="19">
        <v>999.13324999999986</v>
      </c>
      <c r="F36" s="16">
        <v>18.5</v>
      </c>
      <c r="G36" s="16">
        <v>1374.27</v>
      </c>
      <c r="H36" s="16">
        <v>0</v>
      </c>
      <c r="I36" s="16">
        <v>1374.27</v>
      </c>
      <c r="J36" s="20">
        <v>0.727</v>
      </c>
      <c r="K36" s="20">
        <v>0.273</v>
      </c>
    </row>
    <row r="37">
      <c r="A37" s="3" t="s">
        <v>76</v>
      </c>
      <c r="B37" s="14" t="s">
        <v>77</v>
      </c>
      <c r="C37" s="15">
        <v>0</v>
      </c>
      <c r="D37" s="3">
        <v>179</v>
      </c>
      <c r="E37" s="19">
        <v>0</v>
      </c>
      <c r="F37" s="16">
        <v>51.778324022346375</v>
      </c>
      <c r="G37" s="16">
        <v>9268.32</v>
      </c>
      <c r="H37" s="16">
        <v>0</v>
      </c>
      <c r="I37" s="16">
        <v>9240.06</v>
      </c>
      <c r="J37" s="28" t="s">
        <v>78</v>
      </c>
      <c r="K37" s="28" t="s">
        <v>78</v>
      </c>
    </row>
    <row r="38">
      <c r="A38" s="3" t="s">
        <v>79</v>
      </c>
      <c r="B38" s="14" t="s">
        <v>80</v>
      </c>
      <c r="C38" s="15">
        <v>19</v>
      </c>
      <c r="D38" s="3">
        <v>52.43</v>
      </c>
      <c r="E38" s="19">
        <v>996.17</v>
      </c>
      <c r="F38" s="16">
        <v>29.9</v>
      </c>
      <c r="G38" s="16">
        <v>1567.66</v>
      </c>
      <c r="H38" s="16">
        <v>0</v>
      </c>
      <c r="I38" s="16">
        <v>1567.66</v>
      </c>
      <c r="J38" s="20">
        <v>0.6355</v>
      </c>
      <c r="K38" s="20">
        <v>0.3645</v>
      </c>
    </row>
    <row r="39">
      <c r="A39" s="3" t="s">
        <v>81</v>
      </c>
      <c r="B39" s="14" t="s">
        <v>82</v>
      </c>
      <c r="C39" s="15">
        <v>16</v>
      </c>
      <c r="D39" s="3">
        <v>27.92</v>
      </c>
      <c r="E39" s="19">
        <v>446.72</v>
      </c>
      <c r="F39" s="16">
        <v>35</v>
      </c>
      <c r="G39" s="16">
        <v>977.2</v>
      </c>
      <c r="H39" s="16">
        <v>0</v>
      </c>
      <c r="I39" s="16">
        <v>977.2</v>
      </c>
      <c r="J39" s="20">
        <v>0.4571</v>
      </c>
      <c r="K39" s="20">
        <v>0.5429</v>
      </c>
    </row>
    <row r="40">
      <c r="A40" s="3" t="s">
        <v>83</v>
      </c>
      <c r="B40" s="14" t="s">
        <v>84</v>
      </c>
      <c r="C40" s="15">
        <v>4.3</v>
      </c>
      <c r="D40" s="3">
        <v>157</v>
      </c>
      <c r="E40" s="19">
        <v>675.1</v>
      </c>
      <c r="F40" s="16">
        <v>5</v>
      </c>
      <c r="G40" s="16">
        <v>785</v>
      </c>
      <c r="H40" s="16">
        <v>0</v>
      </c>
      <c r="I40" s="16">
        <v>785</v>
      </c>
      <c r="J40" s="20">
        <v>0.86</v>
      </c>
      <c r="K40" s="20">
        <v>0.14</v>
      </c>
    </row>
    <row r="41">
      <c r="A41" s="3" t="s">
        <v>85</v>
      </c>
      <c r="B41" s="14" t="s">
        <v>86</v>
      </c>
      <c r="C41" s="15">
        <v>17.2</v>
      </c>
      <c r="D41" s="3">
        <v>13.4</v>
      </c>
      <c r="E41" s="19">
        <v>230.48</v>
      </c>
      <c r="F41" s="16">
        <v>15.9</v>
      </c>
      <c r="G41" s="16">
        <v>213.06</v>
      </c>
      <c r="H41" s="16">
        <v>0</v>
      </c>
      <c r="I41" s="16">
        <v>213.06</v>
      </c>
      <c r="J41" s="20">
        <v>1.0818</v>
      </c>
      <c r="K41" s="20">
        <v>-0.0818</v>
      </c>
    </row>
    <row r="42">
      <c r="A42" s="3" t="s">
        <v>87</v>
      </c>
      <c r="B42" s="14" t="s">
        <v>88</v>
      </c>
      <c r="C42" s="15">
        <v>4.25</v>
      </c>
      <c r="D42" s="3">
        <v>1</v>
      </c>
      <c r="E42" s="19">
        <v>4.25</v>
      </c>
      <c r="F42" s="16">
        <v>13</v>
      </c>
      <c r="G42" s="16">
        <v>13</v>
      </c>
      <c r="H42" s="16">
        <v>1.18</v>
      </c>
      <c r="I42" s="16">
        <v>13</v>
      </c>
      <c r="J42" s="20">
        <v>0.3596</v>
      </c>
      <c r="K42" s="20">
        <v>0.6404</v>
      </c>
    </row>
    <row r="43">
      <c r="A43" s="3" t="s">
        <v>89</v>
      </c>
      <c r="B43" s="14" t="s">
        <v>90</v>
      </c>
      <c r="C43" s="15">
        <v>4.5</v>
      </c>
      <c r="D43" s="3">
        <v>6</v>
      </c>
      <c r="E43" s="19">
        <v>27</v>
      </c>
      <c r="F43" s="16">
        <v>13</v>
      </c>
      <c r="G43" s="16">
        <v>78</v>
      </c>
      <c r="H43" s="16">
        <v>7.08</v>
      </c>
      <c r="I43" s="16">
        <v>78</v>
      </c>
      <c r="J43" s="20">
        <v>0.3807</v>
      </c>
      <c r="K43" s="20">
        <v>0.6193</v>
      </c>
    </row>
    <row r="44">
      <c r="A44" s="3" t="s">
        <v>91</v>
      </c>
      <c r="B44" s="14" t="s">
        <v>92</v>
      </c>
      <c r="C44" s="15">
        <v>8.5</v>
      </c>
      <c r="D44" s="3">
        <v>8.895</v>
      </c>
      <c r="E44" s="19">
        <v>75.6075</v>
      </c>
      <c r="F44" s="16">
        <v>19.9</v>
      </c>
      <c r="G44" s="16">
        <v>177.01</v>
      </c>
      <c r="H44" s="16">
        <v>0</v>
      </c>
      <c r="I44" s="16">
        <v>177.01</v>
      </c>
      <c r="J44" s="20">
        <v>0.4271</v>
      </c>
      <c r="K44" s="20">
        <v>0.5729</v>
      </c>
    </row>
    <row r="45">
      <c r="A45" s="3" t="s">
        <v>91</v>
      </c>
      <c r="B45" s="14" t="s">
        <v>93</v>
      </c>
      <c r="C45" s="15">
        <v>8.5</v>
      </c>
      <c r="D45" s="3">
        <v>42.125</v>
      </c>
      <c r="E45" s="19">
        <v>358.0625</v>
      </c>
      <c r="F45" s="16">
        <v>15.9</v>
      </c>
      <c r="G45" s="16">
        <v>669.79</v>
      </c>
      <c r="H45" s="16">
        <v>0</v>
      </c>
      <c r="I45" s="16">
        <v>669.79</v>
      </c>
      <c r="J45" s="20">
        <v>0.5346</v>
      </c>
      <c r="K45" s="20">
        <v>0.4654</v>
      </c>
    </row>
    <row r="46">
      <c r="A46" s="3" t="s">
        <v>94</v>
      </c>
      <c r="B46" s="14" t="s">
        <v>95</v>
      </c>
      <c r="C46" s="15">
        <v>11.3</v>
      </c>
      <c r="D46" s="3">
        <v>13.33</v>
      </c>
      <c r="E46" s="19">
        <v>150.62900000000002</v>
      </c>
      <c r="F46" s="16">
        <v>19.9</v>
      </c>
      <c r="G46" s="16">
        <v>265.27</v>
      </c>
      <c r="H46" s="16">
        <v>0</v>
      </c>
      <c r="I46" s="16">
        <v>265.27</v>
      </c>
      <c r="J46" s="20">
        <v>0.5678</v>
      </c>
      <c r="K46" s="20">
        <v>0.4322</v>
      </c>
    </row>
    <row r="47">
      <c r="A47" s="3" t="s">
        <v>94</v>
      </c>
      <c r="B47" s="14" t="s">
        <v>96</v>
      </c>
      <c r="C47" s="15">
        <v>11.3</v>
      </c>
      <c r="D47" s="3">
        <v>9.475</v>
      </c>
      <c r="E47" s="19">
        <v>107.06750000000001</v>
      </c>
      <c r="F47" s="16">
        <v>12.9</v>
      </c>
      <c r="G47" s="16">
        <v>122.23</v>
      </c>
      <c r="H47" s="16">
        <v>0</v>
      </c>
      <c r="I47" s="16">
        <v>122.23</v>
      </c>
      <c r="J47" s="20">
        <v>0.876</v>
      </c>
      <c r="K47" s="20">
        <v>0.124</v>
      </c>
    </row>
    <row r="48">
      <c r="A48" s="3" t="s">
        <v>97</v>
      </c>
      <c r="B48" s="14" t="s">
        <v>98</v>
      </c>
      <c r="C48" s="15">
        <v>9</v>
      </c>
      <c r="D48" s="3">
        <v>12.345</v>
      </c>
      <c r="E48" s="19">
        <v>111.105</v>
      </c>
      <c r="F48" s="16">
        <v>13.9</v>
      </c>
      <c r="G48" s="16">
        <v>171.6</v>
      </c>
      <c r="H48" s="16">
        <v>0</v>
      </c>
      <c r="I48" s="16">
        <v>171.6</v>
      </c>
      <c r="J48" s="20">
        <v>0.6475</v>
      </c>
      <c r="K48" s="20">
        <v>0.3525</v>
      </c>
    </row>
    <row r="49">
      <c r="A49" s="3" t="s">
        <v>99</v>
      </c>
      <c r="B49" s="14" t="s">
        <v>100</v>
      </c>
      <c r="C49" s="15">
        <v>13.63</v>
      </c>
      <c r="D49" s="3">
        <v>15.54</v>
      </c>
      <c r="E49" s="19">
        <v>211.8102</v>
      </c>
      <c r="F49" s="16">
        <v>15</v>
      </c>
      <c r="G49" s="16">
        <v>233.1</v>
      </c>
      <c r="H49" s="16">
        <v>0</v>
      </c>
      <c r="I49" s="16">
        <v>233.1</v>
      </c>
      <c r="J49" s="20">
        <v>0.9087</v>
      </c>
      <c r="K49" s="20">
        <v>0.0913</v>
      </c>
    </row>
    <row r="50">
      <c r="A50" s="3" t="s">
        <v>101</v>
      </c>
      <c r="B50" s="14" t="s">
        <v>102</v>
      </c>
      <c r="C50" s="15">
        <v>23.98</v>
      </c>
      <c r="D50" s="3">
        <v>0.325</v>
      </c>
      <c r="E50" s="19">
        <v>7.7935000000000008</v>
      </c>
      <c r="F50" s="16">
        <v>34.9</v>
      </c>
      <c r="G50" s="16">
        <v>11.34</v>
      </c>
      <c r="H50" s="16">
        <v>0</v>
      </c>
      <c r="I50" s="16">
        <v>11.34</v>
      </c>
      <c r="J50" s="20">
        <v>0.6873</v>
      </c>
      <c r="K50" s="20">
        <v>0.3127</v>
      </c>
    </row>
    <row r="51">
      <c r="A51" s="3" t="s">
        <v>103</v>
      </c>
      <c r="B51" s="14" t="s">
        <v>104</v>
      </c>
      <c r="C51" s="15">
        <v>56.11</v>
      </c>
      <c r="D51" s="3">
        <v>1</v>
      </c>
      <c r="E51" s="19">
        <v>56.11</v>
      </c>
      <c r="F51" s="16">
        <v>99</v>
      </c>
      <c r="G51" s="16">
        <v>99</v>
      </c>
      <c r="H51" s="16">
        <v>9</v>
      </c>
      <c r="I51" s="16">
        <v>99</v>
      </c>
      <c r="J51" s="20">
        <v>0.6234</v>
      </c>
      <c r="K51" s="20">
        <v>0.3766</v>
      </c>
    </row>
    <row r="52">
      <c r="A52" s="3" t="s">
        <v>105</v>
      </c>
      <c r="B52" s="14" t="s">
        <v>106</v>
      </c>
      <c r="C52" s="15">
        <v>9</v>
      </c>
      <c r="D52" s="3">
        <v>20.053</v>
      </c>
      <c r="E52" s="19">
        <v>180.477</v>
      </c>
      <c r="F52" s="16">
        <v>19.9</v>
      </c>
      <c r="G52" s="16">
        <v>80.65</v>
      </c>
      <c r="H52" s="16">
        <v>0</v>
      </c>
      <c r="I52" s="16">
        <v>80.65</v>
      </c>
      <c r="J52" s="20">
        <v>2.2378</v>
      </c>
      <c r="K52" s="20">
        <v>-1.2378</v>
      </c>
    </row>
    <row r="53">
      <c r="A53" s="3" t="s">
        <v>107</v>
      </c>
      <c r="B53" s="14" t="s">
        <v>108</v>
      </c>
      <c r="C53" s="15">
        <v>15.96</v>
      </c>
      <c r="D53" s="3">
        <v>77.72</v>
      </c>
      <c r="E53" s="19">
        <v>1240.4112</v>
      </c>
      <c r="F53" s="16">
        <v>18.5</v>
      </c>
      <c r="G53" s="16">
        <v>1437.82</v>
      </c>
      <c r="H53" s="16">
        <v>0</v>
      </c>
      <c r="I53" s="16">
        <v>1437.82</v>
      </c>
      <c r="J53" s="20">
        <v>0.8627</v>
      </c>
      <c r="K53" s="20">
        <v>0.1373</v>
      </c>
    </row>
    <row r="54">
      <c r="A54" s="3" t="s">
        <v>109</v>
      </c>
      <c r="B54" s="14" t="s">
        <v>110</v>
      </c>
      <c r="C54" s="15">
        <v>12.88</v>
      </c>
      <c r="D54" s="3">
        <v>75.47</v>
      </c>
      <c r="E54" s="19">
        <v>972.05360000000007</v>
      </c>
      <c r="F54" s="16">
        <v>18.5</v>
      </c>
      <c r="G54" s="16">
        <v>1396.2</v>
      </c>
      <c r="H54" s="16">
        <v>0</v>
      </c>
      <c r="I54" s="16">
        <v>1396.2</v>
      </c>
      <c r="J54" s="20">
        <v>0.6962</v>
      </c>
      <c r="K54" s="20">
        <v>0.3038</v>
      </c>
    </row>
    <row r="55">
      <c r="A55" s="3" t="s">
        <v>111</v>
      </c>
      <c r="B55" s="14" t="s">
        <v>112</v>
      </c>
      <c r="C55" s="15">
        <v>37.5</v>
      </c>
      <c r="D55" s="3">
        <v>32.94</v>
      </c>
      <c r="E55" s="19">
        <v>1235.25</v>
      </c>
      <c r="F55" s="16">
        <v>56.81</v>
      </c>
      <c r="G55" s="16">
        <v>1871.32</v>
      </c>
      <c r="H55" s="16">
        <v>0</v>
      </c>
      <c r="I55" s="16">
        <v>1871.32</v>
      </c>
      <c r="J55" s="20">
        <v>0.6601</v>
      </c>
      <c r="K55" s="20">
        <v>0.3399</v>
      </c>
    </row>
    <row r="56">
      <c r="A56" s="3" t="s">
        <v>113</v>
      </c>
      <c r="B56" s="14" t="s">
        <v>114</v>
      </c>
      <c r="C56" s="15">
        <v>8.25</v>
      </c>
      <c r="D56" s="3">
        <v>80</v>
      </c>
      <c r="E56" s="19">
        <v>660</v>
      </c>
      <c r="F56" s="16">
        <v>12.5</v>
      </c>
      <c r="G56" s="16">
        <v>1000</v>
      </c>
      <c r="H56" s="16">
        <v>0</v>
      </c>
      <c r="I56" s="16">
        <v>1000</v>
      </c>
      <c r="J56" s="20">
        <v>0.66</v>
      </c>
      <c r="K56" s="20">
        <v>0.34</v>
      </c>
    </row>
    <row r="57">
      <c r="A57" s="3" t="s">
        <v>115</v>
      </c>
      <c r="B57" s="14" t="s">
        <v>116</v>
      </c>
      <c r="C57" s="15">
        <v>15.9</v>
      </c>
      <c r="D57" s="3">
        <v>16.157</v>
      </c>
      <c r="E57" s="19">
        <v>256.8963</v>
      </c>
      <c r="F57" s="16">
        <v>37.9</v>
      </c>
      <c r="G57" s="16">
        <v>612.34</v>
      </c>
      <c r="H57" s="16">
        <v>0</v>
      </c>
      <c r="I57" s="16">
        <v>612.34</v>
      </c>
      <c r="J57" s="20">
        <v>0.4195</v>
      </c>
      <c r="K57" s="20">
        <v>0.5805</v>
      </c>
    </row>
    <row r="58">
      <c r="A58" s="3" t="s">
        <v>117</v>
      </c>
      <c r="B58" s="14" t="s">
        <v>118</v>
      </c>
      <c r="C58" s="15">
        <v>3.98</v>
      </c>
      <c r="D58" s="3">
        <v>426</v>
      </c>
      <c r="E58" s="19">
        <v>1695.48</v>
      </c>
      <c r="F58" s="16">
        <v>7.48</v>
      </c>
      <c r="G58" s="16">
        <v>3186.48</v>
      </c>
      <c r="H58" s="16">
        <v>0</v>
      </c>
      <c r="I58" s="16">
        <v>3186.48</v>
      </c>
      <c r="J58" s="20">
        <v>0.5321</v>
      </c>
      <c r="K58" s="20">
        <v>0.4679</v>
      </c>
    </row>
    <row r="59">
      <c r="A59" s="3" t="s">
        <v>119</v>
      </c>
      <c r="B59" s="14" t="s">
        <v>120</v>
      </c>
      <c r="C59" s="15">
        <v>10.85</v>
      </c>
      <c r="D59" s="3">
        <v>52</v>
      </c>
      <c r="E59" s="19">
        <v>564.19999999999993</v>
      </c>
      <c r="F59" s="16">
        <v>15.27</v>
      </c>
      <c r="G59" s="16">
        <v>794.04</v>
      </c>
      <c r="H59" s="16">
        <v>0</v>
      </c>
      <c r="I59" s="16">
        <v>794.04</v>
      </c>
      <c r="J59" s="20">
        <v>0.7105</v>
      </c>
      <c r="K59" s="20">
        <v>0.2895</v>
      </c>
    </row>
    <row r="60">
      <c r="A60" s="3" t="s">
        <v>121</v>
      </c>
      <c r="B60" s="14" t="s">
        <v>122</v>
      </c>
      <c r="C60" s="15">
        <v>36.16</v>
      </c>
      <c r="D60" s="3">
        <v>20.45</v>
      </c>
      <c r="E60" s="19">
        <v>739.47199999999987</v>
      </c>
      <c r="F60" s="16">
        <v>50.9</v>
      </c>
      <c r="G60" s="16">
        <v>1040.91</v>
      </c>
      <c r="H60" s="16">
        <v>0</v>
      </c>
      <c r="I60" s="16">
        <v>1040.91</v>
      </c>
      <c r="J60" s="20">
        <v>0.7104</v>
      </c>
      <c r="K60" s="20">
        <v>0.2896</v>
      </c>
    </row>
    <row r="61">
      <c r="A61" s="3" t="s">
        <v>123</v>
      </c>
      <c r="B61" s="14" t="s">
        <v>124</v>
      </c>
      <c r="C61" s="15">
        <v>6.22</v>
      </c>
      <c r="D61" s="3">
        <v>270</v>
      </c>
      <c r="E61" s="19">
        <v>1679.3999999999999</v>
      </c>
      <c r="F61" s="16">
        <v>10.73</v>
      </c>
      <c r="G61" s="16">
        <v>2897.1</v>
      </c>
      <c r="H61" s="16">
        <v>0</v>
      </c>
      <c r="I61" s="16">
        <v>2897.1</v>
      </c>
      <c r="J61" s="20">
        <v>0.5797</v>
      </c>
      <c r="K61" s="20">
        <v>0.4203</v>
      </c>
    </row>
    <row r="62">
      <c r="A62" s="3" t="s">
        <v>125</v>
      </c>
      <c r="B62" s="14" t="s">
        <v>126</v>
      </c>
      <c r="C62" s="15">
        <v>24.88</v>
      </c>
      <c r="D62" s="3">
        <v>23.567</v>
      </c>
      <c r="E62" s="19">
        <v>586.34696</v>
      </c>
      <c r="F62" s="16">
        <v>49.9</v>
      </c>
      <c r="G62" s="16">
        <v>1175.99</v>
      </c>
      <c r="H62" s="16">
        <v>0</v>
      </c>
      <c r="I62" s="16">
        <v>1175.99</v>
      </c>
      <c r="J62" s="20">
        <v>0.4986</v>
      </c>
      <c r="K62" s="20">
        <v>0.5014</v>
      </c>
    </row>
    <row r="63">
      <c r="A63" s="3" t="s">
        <v>125</v>
      </c>
      <c r="B63" s="14" t="s">
        <v>127</v>
      </c>
      <c r="C63" s="15">
        <v>24.88</v>
      </c>
      <c r="D63" s="3">
        <v>37.8</v>
      </c>
      <c r="E63" s="19">
        <v>940.46399999999994</v>
      </c>
      <c r="F63" s="16">
        <v>42</v>
      </c>
      <c r="G63" s="16">
        <v>1587.6</v>
      </c>
      <c r="H63" s="16">
        <v>0</v>
      </c>
      <c r="I63" s="16">
        <v>1587.6</v>
      </c>
      <c r="J63" s="20">
        <v>0.5924</v>
      </c>
      <c r="K63" s="20">
        <v>0.4076</v>
      </c>
    </row>
    <row r="64">
      <c r="A64" s="3" t="s">
        <v>128</v>
      </c>
      <c r="B64" s="14" t="s">
        <v>129</v>
      </c>
      <c r="C64" s="15">
        <v>13.7</v>
      </c>
      <c r="D64" s="3">
        <v>14.75</v>
      </c>
      <c r="E64" s="19">
        <v>202.075</v>
      </c>
      <c r="F64" s="16">
        <v>22</v>
      </c>
      <c r="G64" s="16">
        <v>324.5</v>
      </c>
      <c r="H64" s="16">
        <v>0</v>
      </c>
      <c r="I64" s="16">
        <v>324.5</v>
      </c>
      <c r="J64" s="20">
        <v>0.6227</v>
      </c>
      <c r="K64" s="20">
        <v>0.3773</v>
      </c>
    </row>
    <row r="65">
      <c r="A65" s="3" t="s">
        <v>130</v>
      </c>
      <c r="B65" s="14" t="s">
        <v>131</v>
      </c>
      <c r="C65" s="15">
        <v>16</v>
      </c>
      <c r="D65" s="3">
        <v>6.645</v>
      </c>
      <c r="E65" s="19">
        <v>106.32</v>
      </c>
      <c r="F65" s="16">
        <v>46.9</v>
      </c>
      <c r="G65" s="16">
        <v>311.65</v>
      </c>
      <c r="H65" s="16">
        <v>0</v>
      </c>
      <c r="I65" s="16">
        <v>311.65</v>
      </c>
      <c r="J65" s="20">
        <v>0.3412</v>
      </c>
      <c r="K65" s="20">
        <v>0.6588</v>
      </c>
    </row>
    <row r="66">
      <c r="A66" s="3" t="s">
        <v>132</v>
      </c>
      <c r="B66" s="14" t="s">
        <v>133</v>
      </c>
      <c r="C66" s="15">
        <v>36.3</v>
      </c>
      <c r="D66" s="3">
        <v>2</v>
      </c>
      <c r="E66" s="19">
        <v>72.6</v>
      </c>
      <c r="F66" s="16">
        <v>36.3</v>
      </c>
      <c r="G66" s="16">
        <v>79.86</v>
      </c>
      <c r="H66" s="16">
        <v>7.26</v>
      </c>
      <c r="I66" s="16">
        <v>79.86</v>
      </c>
      <c r="J66" s="28" t="s">
        <v>78</v>
      </c>
      <c r="K66" s="28" t="s">
        <v>78</v>
      </c>
    </row>
    <row r="67">
      <c r="A67" s="3" t="s">
        <v>134</v>
      </c>
      <c r="B67" s="14" t="s">
        <v>135</v>
      </c>
      <c r="C67" s="15">
        <v>13.88</v>
      </c>
      <c r="D67" s="3">
        <v>9.6</v>
      </c>
      <c r="E67" s="19">
        <v>133.248</v>
      </c>
      <c r="F67" s="16">
        <v>26.9</v>
      </c>
      <c r="G67" s="16">
        <v>258.24</v>
      </c>
      <c r="H67" s="16">
        <v>0</v>
      </c>
      <c r="I67" s="16">
        <v>258.24</v>
      </c>
      <c r="J67" s="20">
        <v>0.516</v>
      </c>
      <c r="K67" s="20">
        <v>0.484</v>
      </c>
    </row>
    <row r="68">
      <c r="A68" s="3" t="s">
        <v>136</v>
      </c>
      <c r="B68" s="14" t="s">
        <v>137</v>
      </c>
      <c r="C68" s="15">
        <v>79.73</v>
      </c>
      <c r="D68" s="3">
        <v>27</v>
      </c>
      <c r="E68" s="19">
        <v>2152.71</v>
      </c>
      <c r="F68" s="16">
        <v>83.16</v>
      </c>
      <c r="G68" s="16">
        <v>2245.32</v>
      </c>
      <c r="H68" s="16">
        <v>0</v>
      </c>
      <c r="I68" s="16">
        <v>2245.32</v>
      </c>
      <c r="J68" s="20">
        <v>0.9588</v>
      </c>
      <c r="K68" s="20">
        <v>0.0412</v>
      </c>
    </row>
    <row r="69">
      <c r="A69" s="3" t="s">
        <v>138</v>
      </c>
      <c r="B69" s="14" t="s">
        <v>139</v>
      </c>
      <c r="C69" s="15">
        <v>14.92</v>
      </c>
      <c r="D69" s="3">
        <v>1</v>
      </c>
      <c r="E69" s="19">
        <v>14.92</v>
      </c>
      <c r="F69" s="16">
        <v>19</v>
      </c>
      <c r="G69" s="16">
        <v>19</v>
      </c>
      <c r="H69" s="16">
        <v>1.73</v>
      </c>
      <c r="I69" s="16">
        <v>19</v>
      </c>
      <c r="J69" s="20">
        <v>0.8639</v>
      </c>
      <c r="K69" s="20">
        <v>0.1361</v>
      </c>
    </row>
    <row r="70">
      <c r="A70" s="3" t="s">
        <v>140</v>
      </c>
      <c r="B70" s="14" t="s">
        <v>141</v>
      </c>
      <c r="C70" s="15">
        <v>7.46</v>
      </c>
      <c r="D70" s="3">
        <v>3</v>
      </c>
      <c r="E70" s="19">
        <v>22.38</v>
      </c>
      <c r="F70" s="16">
        <v>9.5</v>
      </c>
      <c r="G70" s="16">
        <v>28.5</v>
      </c>
      <c r="H70" s="16">
        <v>2.59</v>
      </c>
      <c r="I70" s="16">
        <v>28.5</v>
      </c>
      <c r="J70" s="20">
        <v>0.8638</v>
      </c>
      <c r="K70" s="20">
        <v>0.1362</v>
      </c>
    </row>
    <row r="71">
      <c r="A71" s="3" t="s">
        <v>142</v>
      </c>
      <c r="B71" s="14" t="s">
        <v>143</v>
      </c>
      <c r="C71" s="15">
        <v>14.37</v>
      </c>
      <c r="D71" s="3">
        <v>76.335</v>
      </c>
      <c r="E71" s="19">
        <v>1096.9339499999999</v>
      </c>
      <c r="F71" s="16">
        <v>19</v>
      </c>
      <c r="G71" s="16">
        <v>1450.37</v>
      </c>
      <c r="H71" s="16">
        <v>0</v>
      </c>
      <c r="I71" s="16">
        <v>1450.37</v>
      </c>
      <c r="J71" s="20">
        <v>0.7563</v>
      </c>
      <c r="K71" s="20">
        <v>0.2437</v>
      </c>
    </row>
    <row r="72">
      <c r="A72" s="3" t="s">
        <v>144</v>
      </c>
      <c r="B72" s="14" t="s">
        <v>77</v>
      </c>
      <c r="C72" s="15">
        <v>0</v>
      </c>
      <c r="D72" s="3">
        <v>10</v>
      </c>
      <c r="E72" s="19">
        <v>0</v>
      </c>
      <c r="F72" s="16">
        <v>5.98</v>
      </c>
      <c r="G72" s="16">
        <v>59.8</v>
      </c>
      <c r="H72" s="16">
        <v>0</v>
      </c>
      <c r="I72" s="16">
        <v>59.8</v>
      </c>
      <c r="J72" s="28" t="s">
        <v>78</v>
      </c>
      <c r="K72" s="28" t="s">
        <v>78</v>
      </c>
    </row>
    <row r="73">
      <c r="A73" s="3" t="s">
        <v>145</v>
      </c>
      <c r="B73" s="14" t="s">
        <v>146</v>
      </c>
      <c r="C73" s="15">
        <v>57.53</v>
      </c>
      <c r="D73" s="3">
        <v>2</v>
      </c>
      <c r="E73" s="19">
        <v>115.06</v>
      </c>
      <c r="F73" s="16">
        <v>100</v>
      </c>
      <c r="G73" s="16">
        <v>200</v>
      </c>
      <c r="H73" s="16">
        <v>0</v>
      </c>
      <c r="I73" s="16">
        <v>200</v>
      </c>
      <c r="J73" s="20">
        <v>0.5753</v>
      </c>
      <c r="K73" s="20">
        <v>0.4247</v>
      </c>
    </row>
    <row r="74">
      <c r="A74" s="3" t="s">
        <v>147</v>
      </c>
      <c r="B74" s="14" t="s">
        <v>148</v>
      </c>
      <c r="C74" s="15">
        <v>22.83</v>
      </c>
      <c r="D74" s="3">
        <v>2</v>
      </c>
      <c r="E74" s="19">
        <v>45.66</v>
      </c>
      <c r="F74" s="16">
        <v>50</v>
      </c>
      <c r="G74" s="16">
        <v>110</v>
      </c>
      <c r="H74" s="16">
        <v>0</v>
      </c>
      <c r="I74" s="16">
        <v>90</v>
      </c>
      <c r="J74" s="20">
        <v>0.5073</v>
      </c>
      <c r="K74" s="20">
        <v>0.4927</v>
      </c>
    </row>
    <row r="75">
      <c r="A75" s="3" t="s">
        <v>149</v>
      </c>
      <c r="B75" s="14" t="s">
        <v>150</v>
      </c>
      <c r="C75" s="15">
        <v>14.52</v>
      </c>
      <c r="D75" s="3">
        <v>45.5</v>
      </c>
      <c r="E75" s="19">
        <v>660.66</v>
      </c>
      <c r="F75" s="16">
        <v>16</v>
      </c>
      <c r="G75" s="16">
        <v>728</v>
      </c>
      <c r="H75" s="16">
        <v>0</v>
      </c>
      <c r="I75" s="16">
        <v>728</v>
      </c>
      <c r="J75" s="20">
        <v>0.9075</v>
      </c>
      <c r="K75" s="20">
        <v>0.0925</v>
      </c>
    </row>
    <row r="76">
      <c r="A76" s="3" t="s">
        <v>151</v>
      </c>
      <c r="B76" s="14" t="s">
        <v>152</v>
      </c>
      <c r="C76" s="15">
        <v>14.75</v>
      </c>
      <c r="D76" s="3">
        <v>2.125</v>
      </c>
      <c r="E76" s="19">
        <v>31.34375</v>
      </c>
      <c r="F76" s="16">
        <v>20</v>
      </c>
      <c r="G76" s="16">
        <v>42.5</v>
      </c>
      <c r="H76" s="16">
        <v>0</v>
      </c>
      <c r="I76" s="16">
        <v>42.5</v>
      </c>
      <c r="J76" s="20">
        <v>0.7375</v>
      </c>
      <c r="K76" s="20">
        <v>0.2625</v>
      </c>
    </row>
    <row r="77">
      <c r="A77" s="3" t="s">
        <v>153</v>
      </c>
      <c r="B77" s="14" t="s">
        <v>154</v>
      </c>
      <c r="C77" s="15">
        <v>32.3</v>
      </c>
      <c r="D77" s="3">
        <v>40.185</v>
      </c>
      <c r="E77" s="19">
        <v>1297.9755</v>
      </c>
      <c r="F77" s="16">
        <v>50.9</v>
      </c>
      <c r="G77" s="16">
        <v>1524.19</v>
      </c>
      <c r="H77" s="16">
        <v>0</v>
      </c>
      <c r="I77" s="16">
        <v>1524.19</v>
      </c>
      <c r="J77" s="20">
        <v>0.8516</v>
      </c>
      <c r="K77" s="20">
        <v>0.1484</v>
      </c>
    </row>
    <row r="78">
      <c r="A78" s="3" t="s">
        <v>155</v>
      </c>
      <c r="B78" s="14" t="s">
        <v>156</v>
      </c>
      <c r="C78" s="15">
        <v>7.95</v>
      </c>
      <c r="D78" s="3">
        <v>2</v>
      </c>
      <c r="E78" s="19">
        <v>15.9</v>
      </c>
      <c r="F78" s="16">
        <v>20</v>
      </c>
      <c r="G78" s="16">
        <v>40</v>
      </c>
      <c r="H78" s="16">
        <v>3.64</v>
      </c>
      <c r="I78" s="16">
        <v>40</v>
      </c>
      <c r="J78" s="20">
        <v>0.4373</v>
      </c>
      <c r="K78" s="20">
        <v>0.5627</v>
      </c>
    </row>
    <row r="79">
      <c r="A79" s="3" t="s">
        <v>157</v>
      </c>
      <c r="B79" s="14" t="s">
        <v>158</v>
      </c>
      <c r="C79" s="15">
        <v>33.81</v>
      </c>
      <c r="D79" s="3">
        <v>4.38</v>
      </c>
      <c r="E79" s="19">
        <v>148.08780000000002</v>
      </c>
      <c r="F79" s="16">
        <v>28</v>
      </c>
      <c r="G79" s="16">
        <v>122.64</v>
      </c>
      <c r="H79" s="16">
        <v>0</v>
      </c>
      <c r="I79" s="16">
        <v>122.64</v>
      </c>
      <c r="J79" s="20">
        <v>1.2075</v>
      </c>
      <c r="K79" s="20">
        <v>-0.2075</v>
      </c>
    </row>
    <row r="80">
      <c r="A80" s="3" t="s">
        <v>159</v>
      </c>
      <c r="B80" s="14" t="s">
        <v>160</v>
      </c>
      <c r="C80" s="15">
        <v>33.81</v>
      </c>
      <c r="D80" s="3">
        <v>0.4</v>
      </c>
      <c r="E80" s="19">
        <v>13.524000000000001</v>
      </c>
      <c r="F80" s="16">
        <v>44.9</v>
      </c>
      <c r="G80" s="16">
        <v>17.96</v>
      </c>
      <c r="H80" s="16">
        <v>0</v>
      </c>
      <c r="I80" s="16">
        <v>17.96</v>
      </c>
      <c r="J80" s="20">
        <v>0.753</v>
      </c>
      <c r="K80" s="20">
        <v>0.247</v>
      </c>
    </row>
    <row r="81">
      <c r="A81" s="3" t="s">
        <v>161</v>
      </c>
      <c r="B81" s="14" t="s">
        <v>162</v>
      </c>
      <c r="C81" s="15">
        <v>8.74</v>
      </c>
      <c r="D81" s="3">
        <v>10.24</v>
      </c>
      <c r="E81" s="19">
        <v>89.4976</v>
      </c>
      <c r="F81" s="16">
        <v>12.9</v>
      </c>
      <c r="G81" s="16">
        <v>132.1</v>
      </c>
      <c r="H81" s="16">
        <v>0</v>
      </c>
      <c r="I81" s="16">
        <v>132.1</v>
      </c>
      <c r="J81" s="20">
        <v>0.6775</v>
      </c>
      <c r="K81" s="20">
        <v>0.3225</v>
      </c>
    </row>
    <row r="82">
      <c r="A82" s="3" t="s">
        <v>163</v>
      </c>
      <c r="B82" s="14" t="s">
        <v>164</v>
      </c>
      <c r="C82" s="15">
        <v>18.08</v>
      </c>
      <c r="D82" s="3">
        <v>4</v>
      </c>
      <c r="E82" s="19">
        <v>72.32</v>
      </c>
      <c r="F82" s="16">
        <v>30</v>
      </c>
      <c r="G82" s="16">
        <v>120</v>
      </c>
      <c r="H82" s="16">
        <v>10.91</v>
      </c>
      <c r="I82" s="16">
        <v>120</v>
      </c>
      <c r="J82" s="20">
        <v>0.6629</v>
      </c>
      <c r="K82" s="20">
        <v>0.3371</v>
      </c>
    </row>
    <row r="83">
      <c r="A83" s="3" t="s">
        <v>165</v>
      </c>
      <c r="B83" s="14" t="s">
        <v>166</v>
      </c>
      <c r="C83" s="15">
        <v>13.2</v>
      </c>
      <c r="D83" s="3">
        <v>3.26</v>
      </c>
      <c r="E83" s="19">
        <v>43.032</v>
      </c>
      <c r="F83" s="16">
        <v>19.9</v>
      </c>
      <c r="G83" s="16">
        <v>64.87</v>
      </c>
      <c r="H83" s="16">
        <v>0</v>
      </c>
      <c r="I83" s="16">
        <v>64.87</v>
      </c>
      <c r="J83" s="20">
        <v>0.6634</v>
      </c>
      <c r="K83" s="20">
        <v>0.3366</v>
      </c>
    </row>
    <row r="84">
      <c r="A84" s="3" t="s">
        <v>167</v>
      </c>
      <c r="B84" s="14" t="s">
        <v>168</v>
      </c>
      <c r="C84" s="15">
        <v>12.29</v>
      </c>
      <c r="D84" s="3">
        <v>194.775</v>
      </c>
      <c r="E84" s="19">
        <v>2393.78475</v>
      </c>
      <c r="F84" s="16">
        <v>16.9</v>
      </c>
      <c r="G84" s="16">
        <v>3291.7</v>
      </c>
      <c r="H84" s="16">
        <v>0</v>
      </c>
      <c r="I84" s="16">
        <v>3291.7</v>
      </c>
      <c r="J84" s="20">
        <v>0.7272</v>
      </c>
      <c r="K84" s="20">
        <v>0.2728</v>
      </c>
    </row>
    <row r="85">
      <c r="A85" s="3" t="s">
        <v>169</v>
      </c>
      <c r="B85" s="14" t="s">
        <v>170</v>
      </c>
      <c r="C85" s="15">
        <v>8.21</v>
      </c>
      <c r="D85" s="3">
        <v>86.47</v>
      </c>
      <c r="E85" s="19">
        <v>709.91870000000006</v>
      </c>
      <c r="F85" s="16">
        <v>11</v>
      </c>
      <c r="G85" s="16">
        <v>951.18</v>
      </c>
      <c r="H85" s="16">
        <v>0</v>
      </c>
      <c r="I85" s="16">
        <v>951.18</v>
      </c>
      <c r="J85" s="20">
        <v>0.7464</v>
      </c>
      <c r="K85" s="20">
        <v>0.2536</v>
      </c>
    </row>
    <row r="86">
      <c r="A86" s="3" t="s">
        <v>171</v>
      </c>
      <c r="B86" s="14" t="s">
        <v>172</v>
      </c>
      <c r="C86" s="15">
        <v>2.07</v>
      </c>
      <c r="D86" s="3">
        <v>934</v>
      </c>
      <c r="E86" s="19">
        <v>1933.3799999999999</v>
      </c>
      <c r="F86" s="16">
        <v>3.2</v>
      </c>
      <c r="G86" s="16">
        <v>2988.8</v>
      </c>
      <c r="H86" s="16">
        <v>0</v>
      </c>
      <c r="I86" s="16">
        <v>2988.8</v>
      </c>
      <c r="J86" s="20">
        <v>0.6469</v>
      </c>
      <c r="K86" s="20">
        <v>0.3531</v>
      </c>
    </row>
    <row r="87">
      <c r="A87" s="3" t="s">
        <v>173</v>
      </c>
      <c r="B87" s="14" t="s">
        <v>174</v>
      </c>
      <c r="C87" s="15">
        <v>8.94</v>
      </c>
      <c r="D87" s="3">
        <v>57.932</v>
      </c>
      <c r="E87" s="19">
        <v>517.91208</v>
      </c>
      <c r="F87" s="16">
        <v>11</v>
      </c>
      <c r="G87" s="16">
        <v>637.26</v>
      </c>
      <c r="H87" s="16">
        <v>0</v>
      </c>
      <c r="I87" s="16">
        <v>637.26</v>
      </c>
      <c r="J87" s="20">
        <v>0.8127</v>
      </c>
      <c r="K87" s="20">
        <v>0.1873</v>
      </c>
    </row>
    <row r="88">
      <c r="A88" s="3" t="s">
        <v>175</v>
      </c>
      <c r="B88" s="14" t="s">
        <v>176</v>
      </c>
      <c r="C88" s="15">
        <v>16</v>
      </c>
      <c r="D88" s="3">
        <v>4.06</v>
      </c>
      <c r="E88" s="19">
        <v>64.96</v>
      </c>
      <c r="F88" s="16">
        <v>42.9</v>
      </c>
      <c r="G88" s="16">
        <v>174.18</v>
      </c>
      <c r="H88" s="16">
        <v>0</v>
      </c>
      <c r="I88" s="16">
        <v>174.18</v>
      </c>
      <c r="J88" s="20">
        <v>0.3729</v>
      </c>
      <c r="K88" s="20">
        <v>0.6271</v>
      </c>
    </row>
    <row r="89">
      <c r="A89" s="3" t="s">
        <v>177</v>
      </c>
      <c r="B89" s="14" t="s">
        <v>178</v>
      </c>
      <c r="C89" s="15">
        <v>16</v>
      </c>
      <c r="D89" s="3">
        <v>4</v>
      </c>
      <c r="E89" s="19">
        <v>64</v>
      </c>
      <c r="F89" s="16">
        <v>47</v>
      </c>
      <c r="G89" s="16">
        <v>188</v>
      </c>
      <c r="H89" s="16">
        <v>17.09</v>
      </c>
      <c r="I89" s="16">
        <v>188</v>
      </c>
      <c r="J89" s="20">
        <v>0.3745</v>
      </c>
      <c r="K89" s="20">
        <v>0.6255</v>
      </c>
    </row>
    <row r="90">
      <c r="A90" s="3" t="s">
        <v>179</v>
      </c>
      <c r="B90" s="14" t="s">
        <v>180</v>
      </c>
      <c r="C90" s="15">
        <v>13.39</v>
      </c>
      <c r="D90" s="3">
        <v>3.925</v>
      </c>
      <c r="E90" s="19">
        <v>52.55575</v>
      </c>
      <c r="F90" s="16">
        <v>17</v>
      </c>
      <c r="G90" s="16">
        <v>66.73</v>
      </c>
      <c r="H90" s="16">
        <v>0</v>
      </c>
      <c r="I90" s="16">
        <v>66.73</v>
      </c>
      <c r="J90" s="20">
        <v>0.7876</v>
      </c>
      <c r="K90" s="20">
        <v>0.2124</v>
      </c>
    </row>
    <row r="91">
      <c r="A91" s="3" t="s">
        <v>181</v>
      </c>
      <c r="B91" s="14" t="s">
        <v>182</v>
      </c>
      <c r="C91" s="15">
        <v>16.5</v>
      </c>
      <c r="D91" s="3">
        <v>32.64</v>
      </c>
      <c r="E91" s="19">
        <v>538.56000000000006</v>
      </c>
      <c r="F91" s="16">
        <v>12.5</v>
      </c>
      <c r="G91" s="16">
        <v>408</v>
      </c>
      <c r="H91" s="16">
        <v>0</v>
      </c>
      <c r="I91" s="16">
        <v>408</v>
      </c>
      <c r="J91" s="20">
        <v>1.32</v>
      </c>
      <c r="K91" s="20">
        <v>-0.32</v>
      </c>
    </row>
    <row r="92">
      <c r="A92" s="3" t="s">
        <v>183</v>
      </c>
      <c r="B92" s="14" t="s">
        <v>184</v>
      </c>
      <c r="C92" s="15">
        <v>9</v>
      </c>
      <c r="D92" s="3">
        <v>44.1</v>
      </c>
      <c r="E92" s="19">
        <v>396.90000000000003</v>
      </c>
      <c r="F92" s="16">
        <v>15.9</v>
      </c>
      <c r="G92" s="16">
        <v>701.2</v>
      </c>
      <c r="H92" s="16">
        <v>0</v>
      </c>
      <c r="I92" s="16">
        <v>701.2</v>
      </c>
      <c r="J92" s="20">
        <v>0.566</v>
      </c>
      <c r="K92" s="20">
        <v>0.434</v>
      </c>
    </row>
    <row r="93">
      <c r="A93" s="3" t="s">
        <v>185</v>
      </c>
      <c r="B93" s="14" t="s">
        <v>186</v>
      </c>
      <c r="C93" s="15">
        <v>4.62</v>
      </c>
      <c r="D93" s="3">
        <v>78.294</v>
      </c>
      <c r="E93" s="19">
        <v>361.71828</v>
      </c>
      <c r="F93" s="16">
        <v>9</v>
      </c>
      <c r="G93" s="16">
        <v>704.65</v>
      </c>
      <c r="H93" s="16">
        <v>0</v>
      </c>
      <c r="I93" s="16">
        <v>704.65</v>
      </c>
      <c r="J93" s="20">
        <v>0.5133</v>
      </c>
      <c r="K93" s="20">
        <v>0.4867</v>
      </c>
    </row>
    <row r="94">
      <c r="A94" s="3" t="s">
        <v>187</v>
      </c>
      <c r="B94" s="14" t="s">
        <v>188</v>
      </c>
      <c r="C94" s="15">
        <v>9.4</v>
      </c>
      <c r="D94" s="3">
        <v>75.675</v>
      </c>
      <c r="E94" s="19">
        <v>711.345</v>
      </c>
      <c r="F94" s="16">
        <v>12</v>
      </c>
      <c r="G94" s="16">
        <v>908.1</v>
      </c>
      <c r="H94" s="16">
        <v>0</v>
      </c>
      <c r="I94" s="16">
        <v>908.1</v>
      </c>
      <c r="J94" s="20">
        <v>0.7833</v>
      </c>
      <c r="K94" s="20">
        <v>0.2167</v>
      </c>
    </row>
    <row r="95">
      <c r="A95" s="3"/>
      <c r="B95" s="14"/>
      <c r="C95" s="15"/>
      <c r="D95" s="3"/>
      <c r="E95" s="19"/>
      <c r="F95" s="16"/>
      <c r="G95" s="16"/>
      <c r="H95" s="16"/>
      <c r="I95" s="16"/>
      <c r="J95" s="20"/>
      <c r="K95" s="20"/>
    </row>
    <row r="96" ht="15.75" s="3" customFormat="1">
      <c r="A96" s="22" t="s">
        <v>189</v>
      </c>
      <c r="B96" s="23"/>
      <c r="C96" s="27"/>
      <c r="D96" s="27"/>
      <c r="E96" s="24">
        <f>SUM(E7:E95)</f>
        <v>0</v>
      </c>
      <c r="F96" s="22"/>
      <c r="G96" s="22"/>
      <c r="H96" s="22"/>
      <c r="I96" s="24">
        <f>SUM(I7:I95)</f>
        <v>0</v>
      </c>
      <c r="J96" s="25" t="e">
        <f>E96/(I96/1.1)</f>
        <v>#DIV/0!</v>
      </c>
      <c r="K96" s="26" t="e">
        <f>1-J96</f>
        <v>#DIV/0!</v>
      </c>
    </row>
  </sheetData>
  <sortState ref="A7:K34">
    <sortCondition ref="C7:C34"/>
  </sortState>
  <mergeCells>
    <mergeCell ref="C96:D9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