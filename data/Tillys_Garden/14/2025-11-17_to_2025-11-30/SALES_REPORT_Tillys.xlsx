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image/jpeg" PartName="/xl/media/image1.jp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/>
  <mc:AlternateContent xmlns:mc="http://schemas.openxmlformats.org/markup-compatibility/2006">
    <mc:Choice Requires="x15">
      <x15ac:absPath xmlns:x15ac="http://schemas.microsoft.com/office/spreadsheetml/2010/11/ac" url="C:\Cooking The Books\CTBRelease\CookingTheBooksWeb.UI\ExcelTemplate\"/>
    </mc:Choice>
  </mc:AlternateContent>
  <xr:revisionPtr revIDLastSave="0" documentId="10_ncr:8100000_{88C9DD27-8EAE-4D3F-B558-3062C51BFF65}" xr6:coauthVersionLast="34" xr6:coauthVersionMax="34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<sst xmlns="http://schemas.openxmlformats.org/spreadsheetml/2006/main" count="77" uniqueCount="77">
  <si>
    <t>SALES DETAIL BREAKDOWN</t>
  </si>
  <si>
    <t>Venue:</t>
  </si>
  <si>
    <t>Tilly's Garden</t>
  </si>
  <si>
    <t>From Date:</t>
  </si>
  <si>
    <t>17/11/2025</t>
  </si>
  <si>
    <t>To Date:</t>
  </si>
  <si>
    <t>30/11/2025</t>
  </si>
  <si>
    <t>Description</t>
  </si>
  <si>
    <t>Recipe Name</t>
  </si>
  <si>
    <t>Cost Per Portion</t>
  </si>
  <si>
    <t>Quantity Sold</t>
  </si>
  <si>
    <t>Total Food Cost</t>
  </si>
  <si>
    <t>Unit Price</t>
  </si>
  <si>
    <t>Amount</t>
  </si>
  <si>
    <t>Tax Amount</t>
  </si>
  <si>
    <t>Discounted Amount</t>
  </si>
  <si>
    <t>Theoretical Food Cost %</t>
  </si>
  <si>
    <t>Theoretical Gross Profit %</t>
  </si>
  <si>
    <t>BABY SQUID</t>
  </si>
  <si>
    <t>Hot Pineapple Squid (Tillys) - Dish</t>
  </si>
  <si>
    <t>BEEF SKEWERS</t>
  </si>
  <si>
    <t>Chinese Beef Skewers, 2 (Tillys) - Dish</t>
  </si>
  <si>
    <t>BEEF TATAKI</t>
  </si>
  <si>
    <t>Tri Tip Tataki (Tillys) - Dish</t>
  </si>
  <si>
    <t xml:space="preserve">CHICKEN BAO </t>
  </si>
  <si>
    <t>Fried Chicken Bao, 1 (Tillys) - Dish</t>
  </si>
  <si>
    <t>CHICKPEA FRITTERS</t>
  </si>
  <si>
    <t>Chickpea Fritters (Tillys) - Dish</t>
  </si>
  <si>
    <t>CORN &amp; COCONUT TART</t>
  </si>
  <si>
    <t xml:space="preserve">Coconut &amp; Corn Catalan (Tillys) - Dish </t>
  </si>
  <si>
    <t>CUCUMBER SALAD</t>
  </si>
  <si>
    <t>Cucumber Salad (Tillys) - Dish</t>
  </si>
  <si>
    <t>FAILED ORDER CHECK QR</t>
  </si>
  <si>
    <t>None</t>
  </si>
  <si>
    <t>⚠️</t>
  </si>
  <si>
    <t>FRIED PORK &amp; CHIVE DPLS (6) (NF, DF)</t>
  </si>
  <si>
    <t>Pork and Chive Dumplings (Tillys) - Dish</t>
  </si>
  <si>
    <t xml:space="preserve">KARAAGE CHICKEN </t>
  </si>
  <si>
    <t>Karaage Chicken (Tillys) - Dish</t>
  </si>
  <si>
    <t>KIDS FISH GOUJON</t>
  </si>
  <si>
    <t>Fish Goujon, Kids (Tillys) - Dish</t>
  </si>
  <si>
    <t xml:space="preserve">KIDS KARAAGE </t>
  </si>
  <si>
    <t>Chicken Karaage, Kids (Tillys) - Dish</t>
  </si>
  <si>
    <t xml:space="preserve">LOADED POTATOES </t>
  </si>
  <si>
    <t>Loaded Katsu Curry Potatoes (Tillys) - Dish</t>
  </si>
  <si>
    <t>LYCHEE GRANITA</t>
  </si>
  <si>
    <t>Oysters - Cooked (12)(Tillys) - Dish</t>
  </si>
  <si>
    <t>MAC &amp; CHEESE RICE CAKES</t>
  </si>
  <si>
    <t>Korean Mac &amp; Cheese Rice Cakes (Tillys) - Dish</t>
  </si>
  <si>
    <t xml:space="preserve">MUSHROOM BAO </t>
  </si>
  <si>
    <t>Oyster Mushroom Bao, 1 (Tillys) - Dish</t>
  </si>
  <si>
    <t xml:space="preserve">NATURAL </t>
  </si>
  <si>
    <t>OYSTER (12)</t>
  </si>
  <si>
    <t>OYSTER (3)</t>
  </si>
  <si>
    <t>OYSTER (6)</t>
  </si>
  <si>
    <t>PORK BELLY BAO</t>
  </si>
  <si>
    <t>Char Sui Pork Belly Bao, 1 (Tillys) - Dish</t>
  </si>
  <si>
    <t>PORK BELLY BITES</t>
  </si>
  <si>
    <t>Char Sui Pork Belly Bites (Tillys) - Dish</t>
  </si>
  <si>
    <t>SHOESTRING FRIES (GF, NF &amp; V)</t>
  </si>
  <si>
    <t>Ramen Fries (Tillys) - Dish</t>
  </si>
  <si>
    <t>SIDE FRESH CHILLI</t>
  </si>
  <si>
    <t>SIDE JASMINE RICE )(NF, VGN,V,GF,DF)</t>
  </si>
  <si>
    <t>Steamed Jasmine Rice (Tillys) - Dish</t>
  </si>
  <si>
    <t>SOFT SHELL CRAB</t>
  </si>
  <si>
    <t>Soft Shell Crab 25 (Tillys) - Dish</t>
  </si>
  <si>
    <t>STEAMED SCALLOP &amp; PRAWN DPLS (4) (NF, DF)</t>
  </si>
  <si>
    <t>Scallop and Prawn Dumplings (Tillys) - Dish</t>
  </si>
  <si>
    <t>STEAMED VEGETARIAN DPLS (4) (NFO,VGN,V,DF)</t>
  </si>
  <si>
    <t>Vegetarian Dumplings (Tillys) - Dish</t>
  </si>
  <si>
    <t>SWAP TO REGULAR MAYO</t>
  </si>
  <si>
    <t>TUNA CRUDO</t>
  </si>
  <si>
    <t>Miso Tuna, Soy, Cucumber and Coriander (Tillys) - Dish</t>
  </si>
  <si>
    <t>WASABI SOY</t>
  </si>
  <si>
    <t>WITH FRIES</t>
  </si>
  <si>
    <t>WITH RICE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</si>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</sst>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3" fillId="0" borderId="0"/>
    <xf numFmtId="9" fontId="3" fillId="0" borderId="0"/>
  </cellStyleXfs>
  <cellXfs count="29">
    <xf numFmtId="0" applyNumberFormat="1" fontId="0" applyFont="1" fillId="0" applyFill="1" borderId="0" applyBorder="1" xfId="0"/>
    <xf numFmtId="44" applyNumberFormat="1" fontId="3" applyFont="1" fillId="0" applyFill="1" borderId="0" applyBorder="1" xfId="1"/>
    <xf numFmtId="9" applyNumberFormat="1" fontId="3" applyFont="1" fillId="0" applyFill="1" borderId="0" applyBorder="1" xfId="2"/>
    <xf numFmtId="0" applyNumberFormat="1" fontId="0" applyFont="1" fillId="0" applyFill="1" borderId="0" applyBorder="1" xfId="0"/>
    <xf numFmtId="0" applyNumberFormat="1" fontId="2" applyFont="1" fillId="2" applyFill="1" borderId="0" applyBorder="1" xfId="0">
      <alignment vertical="center"/>
    </xf>
    <xf numFmtId="0" applyNumberFormat="1" fontId="2" applyFont="1" fillId="0" applyFill="1" borderId="0" applyBorder="1" xfId="0">
      <alignment vertical="center"/>
    </xf>
    <xf numFmtId="0" applyNumberFormat="1" fontId="2" applyFont="1" fillId="2" applyFill="1" borderId="0" applyBorder="1" xfId="0">
      <alignment horizontal="center" vertical="center"/>
    </xf>
    <xf numFmtId="0" applyNumberFormat="1" fontId="0" applyFont="1" fillId="2" applyFill="1" borderId="0" applyBorder="1" xfId="0"/>
    <xf numFmtId="0" applyNumberFormat="1" fontId="0" applyFont="1" fillId="2" applyFill="1" borderId="0" applyBorder="1" xfId="0">
      <alignment vertical="top"/>
    </xf>
    <xf numFmtId="0" applyNumberFormat="1" fontId="0" applyFont="1" fillId="0" applyFill="1" borderId="0" applyBorder="1" xfId="0">
      <alignment wrapText="1"/>
    </xf>
    <xf numFmtId="0" applyNumberFormat="1" fontId="4" applyFont="1" fillId="2" applyFill="1" borderId="0" applyBorder="1" xfId="0">
      <alignment vertical="center"/>
    </xf>
    <xf numFmtId="0" applyNumberFormat="1" fontId="1" applyFont="1" fillId="2" applyFill="1" borderId="0" applyBorder="1" xfId="0">
      <alignment vertical="top"/>
    </xf>
    <xf numFmtId="14" applyNumberFormat="1" fontId="0" applyFont="1" fillId="2" applyFill="1" borderId="0" applyBorder="1" xfId="0">
      <alignment horizontal="left" vertical="top"/>
    </xf>
    <xf numFmtId="0" applyNumberFormat="1" fontId="5" applyFont="1" fillId="3" applyFill="1" borderId="1" applyBorder="1" xfId="0">
      <alignment vertical="center" wrapText="1"/>
    </xf>
    <xf numFmtId="0" applyNumberFormat="1" fontId="0" applyFont="1" fillId="4" applyFill="1" borderId="0" applyBorder="1" xfId="0"/>
    <xf numFmtId="44" applyNumberFormat="1" fontId="0" applyFont="1" fillId="4" applyFill="1" borderId="0" applyBorder="1" xfId="1"/>
    <xf numFmtId="44" applyNumberFormat="1" fontId="0" applyFont="1" fillId="0" applyFill="1" borderId="0" applyBorder="1" xfId="1"/>
    <xf numFmtId="0" applyNumberFormat="1" fontId="5" applyFont="1" fillId="3" applyFill="1" borderId="1" applyBorder="1" xfId="0">
      <alignment horizontal="right" vertical="center" wrapText="1"/>
    </xf>
    <xf numFmtId="49" applyNumberFormat="1" fontId="5" applyFont="1" fillId="3" applyFill="1" borderId="1" applyBorder="1" xfId="0">
      <alignment horizontal="right" vertical="center" wrapText="1"/>
    </xf>
    <xf numFmtId="164" applyNumberFormat="1" fontId="0" applyFont="1" fillId="0" applyFill="1" borderId="0" applyBorder="1" xfId="0"/>
    <xf numFmtId="10" applyNumberFormat="1" fontId="0" applyFont="1" fillId="4" applyFill="1" borderId="0" applyBorder="1" xfId="2">
      <alignment horizontal="right"/>
    </xf>
    <xf numFmtId="0" applyNumberFormat="1" fontId="5" applyFont="1" fillId="3" applyFill="1" borderId="2" applyBorder="1" xfId="0">
      <alignment horizontal="right" vertical="center" wrapText="1"/>
    </xf>
    <xf numFmtId="0" applyNumberFormat="1" fontId="5" applyFont="1" fillId="3" applyFill="1" borderId="0" applyBorder="1" xfId="0"/>
    <xf numFmtId="0" applyNumberFormat="1" fontId="6" applyFont="1" fillId="3" applyFill="1" borderId="0" applyBorder="1" xfId="0"/>
    <xf numFmtId="44" applyNumberFormat="1" fontId="5" applyFont="1" fillId="3" applyFill="1" borderId="0" applyBorder="1" xfId="0">
      <alignment horizontal="right"/>
    </xf>
    <xf numFmtId="10" applyNumberFormat="1" fontId="5" applyFont="1" fillId="3" applyFill="1" borderId="0" applyBorder="1" xfId="2">
      <alignment horizontal="right"/>
    </xf>
    <xf numFmtId="10" applyNumberFormat="1" fontId="5" applyFont="1" fillId="3" applyFill="1" borderId="0" applyBorder="1" xfId="0">
      <alignment horizontal="right"/>
    </xf>
    <xf numFmtId="0" applyNumberFormat="1" fontId="5" applyFont="1" fillId="3" applyFill="1" borderId="0" applyBorder="1" xfId="0">
      <alignment horizontal="right"/>
    </xf>
    <xf numFmtId="10" applyNumberFormat="1" fontId="7" applyFont="1" fillId="4" applyFill="1" borderId="0" applyBorder="1" xfId="2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390525</xdr:colOff>
      <xdr:row>0</xdr:row>
      <xdr:rowOff>0</xdr:rowOff>
    </xdr:from>
    <xdr:to>
      <xdr:col>10</xdr:col>
      <xdr:colOff>781050</xdr:colOff>
      <xdr:row>4</xdr:row>
      <xdr:rowOff>123825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1"/>
  <sheetViews>
    <sheetView tabSelected="1" workbookViewId="0">
      <selection activeCell="A7" sqref="A7"/>
    </sheetView>
  </sheetViews>
  <sheetFormatPr defaultRowHeight="15" x14ac:dyDescent="0.25"/>
  <cols>
    <col min="1" max="1" width="36.140625" customWidth="1"/>
    <col min="2" max="2" width="52" customWidth="1"/>
    <col min="3" max="3" bestFit="1" width="17.28515625" customWidth="1"/>
    <col min="4" max="4" width="15.5703125" customWidth="1"/>
    <col min="5" max="5" width="16.5703125" customWidth="1"/>
    <col min="6" max="6" width="15.5703125" customWidth="1"/>
    <col min="7" max="7" width="15.5703125" customWidth="1"/>
    <col min="8" max="8" width="15.5703125" customWidth="1"/>
    <col min="9" max="9" width="15.5703125" customWidth="1"/>
    <col min="10" max="10" width="15.5703125" customWidth="1"/>
    <col min="11" max="11" width="12.140625" customWidth="1"/>
    <col min="12" max="12" width="12.140625" customWidth="1"/>
    <col min="13" max="13" width="13.5703125" customWidth="1"/>
    <col min="14" max="14" width="13.140625" customWidth="1"/>
    <col min="15" max="15" width="19.42578125" customWidth="1"/>
    <col min="16" max="16" width="21.7109375" customWidth="1"/>
  </cols>
  <sheetData>
    <row r="1" ht="46.5" customHeight="1" s="3" customFormat="1">
      <c r="A1" s="10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  <c r="M1" s="5"/>
      <c r="N1" s="5"/>
      <c r="O1" s="5"/>
      <c r="P1" s="5"/>
      <c r="Q1" s="5"/>
      <c r="R1" s="5"/>
    </row>
    <row r="2" ht="18.75" customHeight="1" s="3" customFormat="1">
      <c r="A2" s="11" t="s">
        <v>1</v>
      </c>
      <c r="B2" s="8" t="s">
        <v>2</v>
      </c>
      <c r="C2" s="8"/>
      <c r="D2" s="6"/>
      <c r="E2" s="6"/>
      <c r="F2" s="6"/>
      <c r="G2" s="6"/>
      <c r="H2" s="6"/>
      <c r="I2" s="4"/>
      <c r="J2" s="4"/>
      <c r="K2" s="4"/>
      <c r="L2" s="5"/>
      <c r="M2" s="5"/>
      <c r="N2" s="5"/>
      <c r="O2" s="5"/>
      <c r="P2" s="5"/>
      <c r="Q2" s="5"/>
      <c r="R2" s="5"/>
    </row>
    <row r="3" ht="18.75" customHeight="1" s="3" customFormat="1">
      <c r="A3" s="11" t="s">
        <v>3</v>
      </c>
      <c r="B3" s="12" t="s">
        <v>4</v>
      </c>
      <c r="C3" s="12"/>
      <c r="D3" s="6"/>
      <c r="E3" s="6"/>
      <c r="F3" s="6"/>
      <c r="G3" s="6"/>
      <c r="H3" s="6"/>
      <c r="I3" s="4"/>
      <c r="J3" s="4"/>
      <c r="K3" s="4"/>
      <c r="L3" s="5"/>
      <c r="M3" s="5"/>
      <c r="N3" s="5"/>
      <c r="O3" s="5"/>
      <c r="P3" s="5"/>
      <c r="Q3" s="5"/>
      <c r="R3" s="5"/>
    </row>
    <row r="4" ht="18.75" customHeight="1" s="3" customFormat="1">
      <c r="A4" s="11" t="s">
        <v>5</v>
      </c>
      <c r="B4" s="12" t="s">
        <v>6</v>
      </c>
      <c r="C4" s="12"/>
      <c r="D4" s="6"/>
      <c r="E4" s="6"/>
      <c r="F4" s="6"/>
      <c r="G4" s="6"/>
      <c r="H4" s="6"/>
      <c r="I4" s="4"/>
      <c r="J4" s="4"/>
      <c r="K4" s="4"/>
      <c r="L4" s="5"/>
      <c r="M4" s="5"/>
      <c r="N4" s="5"/>
      <c r="O4" s="5"/>
      <c r="P4" s="5"/>
      <c r="Q4" s="5"/>
      <c r="R4" s="5"/>
    </row>
    <row r="5" ht="28.5" customHeight="1" s="3" customFormat="1">
      <c r="A5" s="7"/>
      <c r="B5" s="8"/>
      <c r="C5" s="8"/>
      <c r="D5" s="7"/>
      <c r="E5" s="7"/>
      <c r="F5" s="7"/>
      <c r="G5" s="7"/>
      <c r="H5" s="7"/>
      <c r="I5" s="7"/>
      <c r="J5" s="7"/>
      <c r="K5" s="7"/>
    </row>
    <row r="6" ht="48" customHeight="1" s="9" customFormat="1">
      <c r="A6" s="13" t="s">
        <v>7</v>
      </c>
      <c r="B6" s="13" t="s">
        <v>8</v>
      </c>
      <c r="C6" s="17" t="s">
        <v>9</v>
      </c>
      <c r="D6" s="17" t="s">
        <v>10</v>
      </c>
      <c r="E6" s="17" t="s">
        <v>11</v>
      </c>
      <c r="F6" s="17" t="s">
        <v>12</v>
      </c>
      <c r="G6" s="17" t="s">
        <v>13</v>
      </c>
      <c r="H6" s="17" t="s">
        <v>14</v>
      </c>
      <c r="I6" s="18" t="s">
        <v>15</v>
      </c>
      <c r="J6" s="17" t="s">
        <v>16</v>
      </c>
      <c r="K6" s="21" t="s">
        <v>17</v>
      </c>
    </row>
    <row r="7" s="3" customFormat="1">
      <c r="A7" s="3" t="s">
        <v>18</v>
      </c>
      <c r="B7" s="14" t="s">
        <v>19</v>
      </c>
      <c r="C7" s="15">
        <v>4.95</v>
      </c>
      <c r="D7" s="3">
        <v>72</v>
      </c>
      <c r="E7" s="19">
        <v>356.40000000000003</v>
      </c>
      <c r="F7" s="16">
        <v>21</v>
      </c>
      <c r="G7" s="16">
        <v>1415.4</v>
      </c>
      <c r="H7" s="16">
        <v>126.8904</v>
      </c>
      <c r="I7" s="16">
        <v>1394.4</v>
      </c>
      <c r="J7" s="20">
        <v>0.2812</v>
      </c>
      <c r="K7" s="20">
        <v>0.7188</v>
      </c>
    </row>
    <row r="8" s="3" customFormat="1">
      <c r="A8" s="3" t="s">
        <v>20</v>
      </c>
      <c r="B8" s="14" t="s">
        <v>21</v>
      </c>
      <c r="C8" s="15">
        <v>3.32</v>
      </c>
      <c r="D8" s="3">
        <v>104</v>
      </c>
      <c r="E8" s="19">
        <v>345.28</v>
      </c>
      <c r="F8" s="16">
        <v>18</v>
      </c>
      <c r="G8" s="16">
        <v>1801.8</v>
      </c>
      <c r="H8" s="16">
        <v>163.9638</v>
      </c>
      <c r="I8" s="16">
        <v>1801.8</v>
      </c>
      <c r="J8" s="20">
        <v>0.2108</v>
      </c>
      <c r="K8" s="20">
        <v>0.7892</v>
      </c>
    </row>
    <row r="9" s="3" customFormat="1">
      <c r="A9" s="3" t="s">
        <v>22</v>
      </c>
      <c r="B9" s="14" t="s">
        <v>23</v>
      </c>
      <c r="C9" s="15">
        <v>3.61</v>
      </c>
      <c r="D9" s="3">
        <v>51</v>
      </c>
      <c r="E9" s="19">
        <v>184.10999999999999</v>
      </c>
      <c r="F9" s="16">
        <v>24</v>
      </c>
      <c r="G9" s="16">
        <v>1224</v>
      </c>
      <c r="H9" s="16">
        <v>109.2</v>
      </c>
      <c r="I9" s="16">
        <v>1200</v>
      </c>
      <c r="J9" s="20">
        <v>0.1688</v>
      </c>
      <c r="K9" s="20">
        <v>0.8312</v>
      </c>
    </row>
    <row r="10" s="3" customFormat="1">
      <c r="A10" s="3" t="s">
        <v>24</v>
      </c>
      <c r="B10" s="14" t="s">
        <v>25</v>
      </c>
      <c r="C10" s="15">
        <v>1.84</v>
      </c>
      <c r="D10" s="3">
        <v>138</v>
      </c>
      <c r="E10" s="19">
        <v>253.92000000000002</v>
      </c>
      <c r="F10" s="16">
        <v>10</v>
      </c>
      <c r="G10" s="16">
        <v>1374</v>
      </c>
      <c r="H10" s="16">
        <v>123.214</v>
      </c>
      <c r="I10" s="16">
        <v>1354</v>
      </c>
      <c r="J10" s="20">
        <v>0.2063</v>
      </c>
      <c r="K10" s="20">
        <v>0.7937</v>
      </c>
    </row>
    <row r="11" s="3" customFormat="1">
      <c r="A11" s="3" t="s">
        <v>26</v>
      </c>
      <c r="B11" s="14" t="s">
        <v>27</v>
      </c>
      <c r="C11" s="15">
        <v>2.42</v>
      </c>
      <c r="D11" s="3">
        <v>46</v>
      </c>
      <c r="E11" s="19">
        <v>111.32</v>
      </c>
      <c r="F11" s="16">
        <v>16</v>
      </c>
      <c r="G11" s="16">
        <v>736</v>
      </c>
      <c r="H11" s="16">
        <v>65.52</v>
      </c>
      <c r="I11" s="16">
        <v>720</v>
      </c>
      <c r="J11" s="20">
        <v>0.1701</v>
      </c>
      <c r="K11" s="20">
        <v>0.8299</v>
      </c>
    </row>
    <row r="12" s="3" customFormat="1">
      <c r="A12" s="3" t="s">
        <v>28</v>
      </c>
      <c r="B12" s="14" t="s">
        <v>29</v>
      </c>
      <c r="C12" s="15">
        <v>2.27</v>
      </c>
      <c r="D12" s="3">
        <v>7</v>
      </c>
      <c r="E12" s="19">
        <v>15.89</v>
      </c>
      <c r="F12" s="16">
        <v>15</v>
      </c>
      <c r="G12" s="16">
        <v>105</v>
      </c>
      <c r="H12" s="16">
        <v>9.555</v>
      </c>
      <c r="I12" s="16">
        <v>105</v>
      </c>
      <c r="J12" s="20">
        <v>0.1665</v>
      </c>
      <c r="K12" s="20">
        <v>0.8335</v>
      </c>
    </row>
    <row r="13" s="3" customFormat="1">
      <c r="A13" s="3" t="s">
        <v>30</v>
      </c>
      <c r="B13" s="14" t="s">
        <v>31</v>
      </c>
      <c r="C13" s="15">
        <v>2.77</v>
      </c>
      <c r="D13" s="3">
        <v>29</v>
      </c>
      <c r="E13" s="19">
        <v>80.33</v>
      </c>
      <c r="F13" s="16">
        <v>15</v>
      </c>
      <c r="G13" s="16">
        <v>435</v>
      </c>
      <c r="H13" s="16">
        <v>39.585</v>
      </c>
      <c r="I13" s="16">
        <v>435</v>
      </c>
      <c r="J13" s="20">
        <v>0.2032</v>
      </c>
      <c r="K13" s="20">
        <v>0.7968</v>
      </c>
    </row>
    <row r="14" s="3" customFormat="1">
      <c r="A14" s="3" t="s">
        <v>32</v>
      </c>
      <c r="B14" s="14" t="s">
        <v>33</v>
      </c>
      <c r="C14" s="15">
        <v>0</v>
      </c>
      <c r="D14" s="3">
        <v>1</v>
      </c>
      <c r="E14" s="19">
        <v>0</v>
      </c>
      <c r="F14" s="16">
        <v>0</v>
      </c>
      <c r="G14" s="16">
        <v>0</v>
      </c>
      <c r="H14" s="16">
        <v>0</v>
      </c>
      <c r="I14" s="16">
        <v>0</v>
      </c>
      <c r="J14" s="28" t="s">
        <v>34</v>
      </c>
      <c r="K14" s="28" t="s">
        <v>34</v>
      </c>
    </row>
    <row r="15" s="3" customFormat="1">
      <c r="A15" s="3" t="s">
        <v>35</v>
      </c>
      <c r="B15" s="14" t="s">
        <v>36</v>
      </c>
      <c r="C15" s="15">
        <v>4.46</v>
      </c>
      <c r="D15" s="3">
        <v>136</v>
      </c>
      <c r="E15" s="19">
        <v>606.56</v>
      </c>
      <c r="F15" s="16">
        <v>17</v>
      </c>
      <c r="G15" s="16">
        <v>2272.9</v>
      </c>
      <c r="H15" s="16">
        <v>202.1929</v>
      </c>
      <c r="I15" s="16">
        <v>2221.9</v>
      </c>
      <c r="J15" s="20">
        <v>0.3003</v>
      </c>
      <c r="K15" s="20">
        <v>0.6997</v>
      </c>
    </row>
    <row r="16" s="3" customFormat="1">
      <c r="A16" s="3" t="s">
        <v>37</v>
      </c>
      <c r="B16" s="14" t="s">
        <v>38</v>
      </c>
      <c r="C16" s="15">
        <v>5.14</v>
      </c>
      <c r="D16" s="3">
        <v>107</v>
      </c>
      <c r="E16" s="19">
        <v>549.98</v>
      </c>
      <c r="F16" s="16">
        <v>23</v>
      </c>
      <c r="G16" s="16">
        <v>2346</v>
      </c>
      <c r="H16" s="16">
        <v>209.3</v>
      </c>
      <c r="I16" s="16">
        <v>2300</v>
      </c>
      <c r="J16" s="20">
        <v>0.2631</v>
      </c>
      <c r="K16" s="20">
        <v>0.7369</v>
      </c>
    </row>
    <row r="17" s="3" customFormat="1">
      <c r="A17" s="3" t="s">
        <v>39</v>
      </c>
      <c r="B17" s="14" t="s">
        <v>40</v>
      </c>
      <c r="C17" s="15">
        <v>3.2</v>
      </c>
      <c r="D17" s="3">
        <v>10</v>
      </c>
      <c r="E17" s="19">
        <v>32</v>
      </c>
      <c r="F17" s="16">
        <v>15</v>
      </c>
      <c r="G17" s="16">
        <v>135</v>
      </c>
      <c r="H17" s="16">
        <v>12.285</v>
      </c>
      <c r="I17" s="16">
        <v>135</v>
      </c>
      <c r="J17" s="20">
        <v>0.2608</v>
      </c>
      <c r="K17" s="20">
        <v>0.7392</v>
      </c>
    </row>
    <row r="18" s="3" customFormat="1">
      <c r="A18" s="3" t="s">
        <v>41</v>
      </c>
      <c r="B18" s="14" t="s">
        <v>42</v>
      </c>
      <c r="C18" s="15">
        <v>2.67</v>
      </c>
      <c r="D18" s="3">
        <v>16</v>
      </c>
      <c r="E18" s="19">
        <v>42.72</v>
      </c>
      <c r="F18" s="16">
        <v>15</v>
      </c>
      <c r="G18" s="16">
        <v>211.5</v>
      </c>
      <c r="H18" s="16">
        <v>19.2465</v>
      </c>
      <c r="I18" s="16">
        <v>211.5</v>
      </c>
      <c r="J18" s="20">
        <v>0.2222</v>
      </c>
      <c r="K18" s="20">
        <v>0.7778</v>
      </c>
    </row>
    <row r="19" s="3" customFormat="1">
      <c r="A19" s="3" t="s">
        <v>43</v>
      </c>
      <c r="B19" s="14" t="s">
        <v>44</v>
      </c>
      <c r="C19" s="15">
        <v>2.25</v>
      </c>
      <c r="D19" s="3">
        <v>69</v>
      </c>
      <c r="E19" s="19">
        <v>155.25</v>
      </c>
      <c r="F19" s="16">
        <v>16</v>
      </c>
      <c r="G19" s="16">
        <v>1067.2</v>
      </c>
      <c r="H19" s="16">
        <v>95.6592</v>
      </c>
      <c r="I19" s="16">
        <v>1051.2</v>
      </c>
      <c r="J19" s="20">
        <v>0.1625</v>
      </c>
      <c r="K19" s="20">
        <v>0.8375</v>
      </c>
    </row>
    <row r="20" s="3" customFormat="1">
      <c r="A20" s="3" t="s">
        <v>45</v>
      </c>
      <c r="B20" s="14" t="s">
        <v>46</v>
      </c>
      <c r="C20" s="15">
        <v>25.08</v>
      </c>
      <c r="D20" s="3">
        <v>9</v>
      </c>
      <c r="E20" s="19">
        <v>225.71999999999997</v>
      </c>
      <c r="F20" s="16">
        <v>0</v>
      </c>
      <c r="G20" s="16">
        <v>0</v>
      </c>
      <c r="H20" s="16">
        <v>0</v>
      </c>
      <c r="I20" s="16">
        <v>0</v>
      </c>
      <c r="J20" s="28" t="s">
        <v>34</v>
      </c>
      <c r="K20" s="28" t="s">
        <v>34</v>
      </c>
    </row>
    <row r="21" s="3" customFormat="1">
      <c r="A21" s="3" t="s">
        <v>47</v>
      </c>
      <c r="B21" s="14" t="s">
        <v>48</v>
      </c>
      <c r="C21" s="15">
        <v>1.79</v>
      </c>
      <c r="D21" s="3">
        <v>60</v>
      </c>
      <c r="E21" s="19">
        <v>107.4</v>
      </c>
      <c r="F21" s="16">
        <v>16</v>
      </c>
      <c r="G21" s="16">
        <v>944</v>
      </c>
      <c r="H21" s="16">
        <v>85.904</v>
      </c>
      <c r="I21" s="16">
        <v>944</v>
      </c>
      <c r="J21" s="20">
        <v>0.1252</v>
      </c>
      <c r="K21" s="20">
        <v>0.8748</v>
      </c>
    </row>
    <row r="22" s="3" customFormat="1">
      <c r="A22" s="3" t="s">
        <v>49</v>
      </c>
      <c r="B22" s="14" t="s">
        <v>50</v>
      </c>
      <c r="C22" s="15">
        <v>2.15</v>
      </c>
      <c r="D22" s="3">
        <v>18</v>
      </c>
      <c r="E22" s="19">
        <v>38.699999999999996</v>
      </c>
      <c r="F22" s="16">
        <v>10</v>
      </c>
      <c r="G22" s="16">
        <v>180</v>
      </c>
      <c r="H22" s="16">
        <v>16.38</v>
      </c>
      <c r="I22" s="16">
        <v>180</v>
      </c>
      <c r="J22" s="20">
        <v>0.2365</v>
      </c>
      <c r="K22" s="20">
        <v>0.7635</v>
      </c>
    </row>
    <row r="23" s="3" customFormat="1">
      <c r="A23" s="3" t="s">
        <v>51</v>
      </c>
      <c r="B23" s="14" t="s">
        <v>33</v>
      </c>
      <c r="C23" s="15">
        <v>0</v>
      </c>
      <c r="D23" s="3">
        <v>6</v>
      </c>
      <c r="E23" s="19">
        <v>0</v>
      </c>
      <c r="F23" s="16">
        <v>0</v>
      </c>
      <c r="G23" s="16">
        <v>0</v>
      </c>
      <c r="H23" s="16">
        <v>0</v>
      </c>
      <c r="I23" s="16">
        <v>0</v>
      </c>
      <c r="J23" s="28" t="s">
        <v>34</v>
      </c>
      <c r="K23" s="28" t="s">
        <v>34</v>
      </c>
    </row>
    <row r="24" s="3" customFormat="1">
      <c r="A24" s="3" t="s">
        <v>52</v>
      </c>
      <c r="B24" s="14" t="s">
        <v>33</v>
      </c>
      <c r="C24" s="15">
        <v>0</v>
      </c>
      <c r="D24" s="3">
        <v>2</v>
      </c>
      <c r="E24" s="19">
        <v>0</v>
      </c>
      <c r="F24" s="16">
        <v>70</v>
      </c>
      <c r="G24" s="16">
        <v>140</v>
      </c>
      <c r="H24" s="16">
        <v>12.74</v>
      </c>
      <c r="I24" s="16">
        <v>140</v>
      </c>
      <c r="J24" s="28" t="s">
        <v>34</v>
      </c>
      <c r="K24" s="28" t="s">
        <v>34</v>
      </c>
    </row>
    <row r="25" s="3" customFormat="1">
      <c r="A25" s="3" t="s">
        <v>53</v>
      </c>
      <c r="B25" s="14" t="s">
        <v>33</v>
      </c>
      <c r="C25" s="15">
        <v>0</v>
      </c>
      <c r="D25" s="3">
        <v>10</v>
      </c>
      <c r="E25" s="19">
        <v>0</v>
      </c>
      <c r="F25" s="16">
        <v>18</v>
      </c>
      <c r="G25" s="16">
        <v>180</v>
      </c>
      <c r="H25" s="16">
        <v>16.38</v>
      </c>
      <c r="I25" s="16">
        <v>180</v>
      </c>
      <c r="J25" s="28" t="s">
        <v>34</v>
      </c>
      <c r="K25" s="28" t="s">
        <v>34</v>
      </c>
    </row>
    <row r="26" s="3" customFormat="1">
      <c r="A26" s="3" t="s">
        <v>54</v>
      </c>
      <c r="B26" s="14" t="s">
        <v>33</v>
      </c>
      <c r="C26" s="15">
        <v>0</v>
      </c>
      <c r="D26" s="3">
        <v>8</v>
      </c>
      <c r="E26" s="19">
        <v>0</v>
      </c>
      <c r="F26" s="16">
        <v>35</v>
      </c>
      <c r="G26" s="16">
        <v>280</v>
      </c>
      <c r="H26" s="16">
        <v>25.48</v>
      </c>
      <c r="I26" s="16">
        <v>280</v>
      </c>
      <c r="J26" s="28" t="s">
        <v>34</v>
      </c>
      <c r="K26" s="28" t="s">
        <v>34</v>
      </c>
    </row>
    <row r="27" s="3" customFormat="1">
      <c r="A27" s="3" t="s">
        <v>55</v>
      </c>
      <c r="B27" s="14" t="s">
        <v>56</v>
      </c>
      <c r="C27" s="15">
        <v>2.04</v>
      </c>
      <c r="D27" s="3">
        <v>135</v>
      </c>
      <c r="E27" s="19">
        <v>275.4</v>
      </c>
      <c r="F27" s="16">
        <v>10</v>
      </c>
      <c r="G27" s="16">
        <v>1344</v>
      </c>
      <c r="H27" s="16">
        <v>120.484</v>
      </c>
      <c r="I27" s="16">
        <v>1324</v>
      </c>
      <c r="J27" s="20">
        <v>0.2288</v>
      </c>
      <c r="K27" s="20">
        <v>0.7712</v>
      </c>
    </row>
    <row r="28" s="3" customFormat="1">
      <c r="A28" s="3" t="s">
        <v>57</v>
      </c>
      <c r="B28" s="14" t="s">
        <v>58</v>
      </c>
      <c r="C28" s="15">
        <v>5.26</v>
      </c>
      <c r="D28" s="3">
        <v>143</v>
      </c>
      <c r="E28" s="19">
        <v>752.18</v>
      </c>
      <c r="F28" s="16">
        <v>23</v>
      </c>
      <c r="G28" s="16">
        <v>3105</v>
      </c>
      <c r="H28" s="16">
        <v>280.462</v>
      </c>
      <c r="I28" s="16">
        <v>3082</v>
      </c>
      <c r="J28" s="20">
        <v>0.2685</v>
      </c>
      <c r="K28" s="20">
        <v>0.7315</v>
      </c>
    </row>
    <row r="29" s="3" customFormat="1">
      <c r="A29" s="3" t="s">
        <v>59</v>
      </c>
      <c r="B29" s="14" t="s">
        <v>60</v>
      </c>
      <c r="C29" s="15">
        <v>3.38</v>
      </c>
      <c r="D29" s="3">
        <v>195</v>
      </c>
      <c r="E29" s="19">
        <v>659.1</v>
      </c>
      <c r="F29" s="16">
        <v>14</v>
      </c>
      <c r="G29" s="16">
        <v>2685.2</v>
      </c>
      <c r="H29" s="16">
        <v>243.0792</v>
      </c>
      <c r="I29" s="16">
        <v>2671.2</v>
      </c>
      <c r="J29" s="20">
        <v>0.2714</v>
      </c>
      <c r="K29" s="20">
        <v>0.7286</v>
      </c>
    </row>
    <row r="30" s="3" customFormat="1">
      <c r="A30" s="3" t="s">
        <v>61</v>
      </c>
      <c r="B30" s="14" t="s">
        <v>33</v>
      </c>
      <c r="C30" s="15">
        <v>0</v>
      </c>
      <c r="D30" s="3">
        <v>2</v>
      </c>
      <c r="E30" s="19">
        <v>0</v>
      </c>
      <c r="F30" s="16">
        <v>0</v>
      </c>
      <c r="G30" s="16">
        <v>0</v>
      </c>
      <c r="H30" s="16">
        <v>0</v>
      </c>
      <c r="I30" s="16">
        <v>0</v>
      </c>
      <c r="J30" s="28" t="s">
        <v>34</v>
      </c>
      <c r="K30" s="28" t="s">
        <v>34</v>
      </c>
    </row>
    <row r="31" s="3" customFormat="1">
      <c r="A31" s="3" t="s">
        <v>62</v>
      </c>
      <c r="B31" s="14" t="s">
        <v>63</v>
      </c>
      <c r="C31" s="15">
        <v>0.79</v>
      </c>
      <c r="D31" s="3">
        <v>25</v>
      </c>
      <c r="E31" s="19">
        <v>19.75</v>
      </c>
      <c r="F31" s="16">
        <v>5</v>
      </c>
      <c r="G31" s="16">
        <v>73.5</v>
      </c>
      <c r="H31" s="16">
        <v>6.6885</v>
      </c>
      <c r="I31" s="16">
        <v>73.5</v>
      </c>
      <c r="J31" s="20">
        <v>0.2956</v>
      </c>
      <c r="K31" s="20">
        <v>0.7044</v>
      </c>
    </row>
    <row r="32" s="3" customFormat="1">
      <c r="A32" s="3" t="s">
        <v>64</v>
      </c>
      <c r="B32" s="14" t="s">
        <v>65</v>
      </c>
      <c r="C32" s="15">
        <v>4.93</v>
      </c>
      <c r="D32" s="3">
        <v>50</v>
      </c>
      <c r="E32" s="19">
        <v>246.5</v>
      </c>
      <c r="F32" s="16">
        <v>24</v>
      </c>
      <c r="G32" s="16">
        <v>1200</v>
      </c>
      <c r="H32" s="16">
        <v>109.2</v>
      </c>
      <c r="I32" s="16">
        <v>1200</v>
      </c>
      <c r="J32" s="20">
        <v>0.226</v>
      </c>
      <c r="K32" s="20">
        <v>0.774</v>
      </c>
    </row>
    <row r="33" s="3" customFormat="1">
      <c r="A33" s="3" t="s">
        <v>66</v>
      </c>
      <c r="B33" s="14" t="s">
        <v>67</v>
      </c>
      <c r="C33" s="15">
        <v>3.13</v>
      </c>
      <c r="D33" s="3">
        <v>99</v>
      </c>
      <c r="E33" s="19">
        <v>309.87</v>
      </c>
      <c r="F33" s="16">
        <v>17</v>
      </c>
      <c r="G33" s="16">
        <v>1640.5</v>
      </c>
      <c r="H33" s="16">
        <v>149.2855</v>
      </c>
      <c r="I33" s="16">
        <v>1640.5</v>
      </c>
      <c r="J33" s="20">
        <v>0.2078</v>
      </c>
      <c r="K33" s="20">
        <v>0.7922</v>
      </c>
    </row>
    <row r="34" s="3" customFormat="1">
      <c r="A34" s="3" t="s">
        <v>68</v>
      </c>
      <c r="B34" s="14" t="s">
        <v>69</v>
      </c>
      <c r="C34" s="15">
        <v>3.19</v>
      </c>
      <c r="D34" s="3">
        <v>67</v>
      </c>
      <c r="E34" s="19">
        <v>213.73</v>
      </c>
      <c r="F34" s="16">
        <v>14</v>
      </c>
      <c r="G34" s="16">
        <v>897.4</v>
      </c>
      <c r="H34" s="16">
        <v>81.6634</v>
      </c>
      <c r="I34" s="16">
        <v>897.4</v>
      </c>
      <c r="J34" s="20">
        <v>0.262</v>
      </c>
      <c r="K34" s="20">
        <v>0.738</v>
      </c>
    </row>
    <row r="35">
      <c r="A35" s="3" t="s">
        <v>70</v>
      </c>
      <c r="B35" s="14" t="s">
        <v>33</v>
      </c>
      <c r="C35" s="15">
        <v>0</v>
      </c>
      <c r="D35" s="3">
        <v>1</v>
      </c>
      <c r="E35" s="19">
        <v>0</v>
      </c>
      <c r="F35" s="16">
        <v>0</v>
      </c>
      <c r="G35" s="16">
        <v>0</v>
      </c>
      <c r="H35" s="16">
        <v>0</v>
      </c>
      <c r="I35" s="16">
        <v>0</v>
      </c>
      <c r="J35" s="28" t="s">
        <v>34</v>
      </c>
      <c r="K35" s="28" t="s">
        <v>34</v>
      </c>
    </row>
    <row r="36">
      <c r="A36" s="3" t="s">
        <v>71</v>
      </c>
      <c r="B36" s="14" t="s">
        <v>72</v>
      </c>
      <c r="C36" s="15">
        <v>3.32</v>
      </c>
      <c r="D36" s="3">
        <v>12</v>
      </c>
      <c r="E36" s="19">
        <v>39.839999999999996</v>
      </c>
      <c r="F36" s="16">
        <v>24</v>
      </c>
      <c r="G36" s="16">
        <v>288</v>
      </c>
      <c r="H36" s="16">
        <v>26.208</v>
      </c>
      <c r="I36" s="16">
        <v>288</v>
      </c>
      <c r="J36" s="20">
        <v>0.1522</v>
      </c>
      <c r="K36" s="20">
        <v>0.8478</v>
      </c>
    </row>
    <row r="37">
      <c r="A37" s="3" t="s">
        <v>73</v>
      </c>
      <c r="B37" s="14" t="s">
        <v>33</v>
      </c>
      <c r="C37" s="15">
        <v>0</v>
      </c>
      <c r="D37" s="3">
        <v>4</v>
      </c>
      <c r="E37" s="19">
        <v>0</v>
      </c>
      <c r="F37" s="16">
        <v>0</v>
      </c>
      <c r="G37" s="16">
        <v>0</v>
      </c>
      <c r="H37" s="16">
        <v>0</v>
      </c>
      <c r="I37" s="16">
        <v>0</v>
      </c>
      <c r="J37" s="28" t="s">
        <v>34</v>
      </c>
      <c r="K37" s="28" t="s">
        <v>34</v>
      </c>
    </row>
    <row r="38">
      <c r="A38" s="3" t="s">
        <v>74</v>
      </c>
      <c r="B38" s="14" t="s">
        <v>33</v>
      </c>
      <c r="C38" s="15">
        <v>0</v>
      </c>
      <c r="D38" s="3">
        <v>24</v>
      </c>
      <c r="E38" s="19">
        <v>0</v>
      </c>
      <c r="F38" s="16">
        <v>0</v>
      </c>
      <c r="G38" s="16">
        <v>0</v>
      </c>
      <c r="H38" s="16">
        <v>0</v>
      </c>
      <c r="I38" s="16">
        <v>0</v>
      </c>
      <c r="J38" s="28" t="s">
        <v>34</v>
      </c>
      <c r="K38" s="28" t="s">
        <v>34</v>
      </c>
    </row>
    <row r="39">
      <c r="A39" s="3" t="s">
        <v>75</v>
      </c>
      <c r="B39" s="14" t="s">
        <v>33</v>
      </c>
      <c r="C39" s="15">
        <v>0</v>
      </c>
      <c r="D39" s="3">
        <v>2</v>
      </c>
      <c r="E39" s="19">
        <v>0</v>
      </c>
      <c r="F39" s="16">
        <v>0</v>
      </c>
      <c r="G39" s="16">
        <v>0</v>
      </c>
      <c r="H39" s="16">
        <v>0</v>
      </c>
      <c r="I39" s="16">
        <v>0</v>
      </c>
      <c r="J39" s="28" t="s">
        <v>34</v>
      </c>
      <c r="K39" s="28" t="s">
        <v>34</v>
      </c>
    </row>
    <row r="40">
      <c r="A40" s="3"/>
      <c r="B40" s="14"/>
      <c r="C40" s="15"/>
      <c r="D40" s="3"/>
      <c r="E40" s="19"/>
      <c r="F40" s="16"/>
      <c r="G40" s="16"/>
      <c r="H40" s="16"/>
      <c r="I40" s="16"/>
      <c r="J40" s="20"/>
      <c r="K40" s="20"/>
    </row>
    <row r="41" ht="15.75" s="3" customFormat="1">
      <c r="A41" s="22" t="s">
        <v>76</v>
      </c>
      <c r="B41" s="23"/>
      <c r="C41" s="27"/>
      <c r="D41" s="27"/>
      <c r="E41" s="24">
        <f>SUM(E7:E40)</f>
        <v>0</v>
      </c>
      <c r="F41" s="22"/>
      <c r="G41" s="22"/>
      <c r="H41" s="22"/>
      <c r="I41" s="24">
        <f>SUM(I7:I40)</f>
        <v>0</v>
      </c>
      <c r="J41" s="25" t="e">
        <f>E41/(I41/1.1)</f>
        <v>#DIV/0!</v>
      </c>
      <c r="K41" s="26" t="e">
        <f>1-J41</f>
        <v>#DIV/0!</v>
      </c>
    </row>
  </sheetData>
  <sortState ref="A7:K34">
    <sortCondition ref="C7:C34"/>
  </sortState>
  <mergeCells>
    <mergeCell ref="C41:D41"/>
  </mergeCells>
  <pageMargins left="0.7" right="0.7" top="0.75" bottom="0.75" header="0.3" footer="0.3"/>
  <pageSetup paperSize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TomLai</dc:creator>
  <cp:lastModifiedBy>CTB-DELL-TRUNG</cp:lastModifiedBy>
  <dcterms:created xsi:type="dcterms:W3CDTF">2017-07-06T04:07:56Z</dcterms:created>
  <dcterms:modified xsi:type="dcterms:W3CDTF">2018-09-06T05:19:36Z</dcterms:modified>
</cp:coreProperties>
</file>