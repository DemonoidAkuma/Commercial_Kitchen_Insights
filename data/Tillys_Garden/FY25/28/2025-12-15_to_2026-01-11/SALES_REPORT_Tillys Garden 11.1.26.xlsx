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<sst xmlns="http://schemas.openxmlformats.org/spreadsheetml/2006/main" count="111" uniqueCount="111">
  <si>
    <t>SALES DETAIL BREAKDOWN</t>
  </si>
  <si>
    <t>Venue:</t>
  </si>
  <si>
    <t>Tilly's Garden</t>
  </si>
  <si>
    <t>From Date:</t>
  </si>
  <si>
    <t>15/12/2025</t>
  </si>
  <si>
    <t>To Date:</t>
  </si>
  <si>
    <t>11/01/2026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</si>
  <si>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</si>
  <si>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</si>
  <si>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</si>
  <si>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</si>
  <si>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</si>
  <si>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</si>
  <si>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</si>
  <si>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</si>
  <si>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</si>
  <si>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</si>
  <si>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</si>
  <si>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>5PC CANAPE PP</t>
  </si>
  <si>
    <t>5PC Canape Option (Tillys) - Function</t>
  </si>
  <si>
    <t>BABY SQUID</t>
  </si>
  <si>
    <t>Hot Pineapple Squid (Tillys) - Dish</t>
  </si>
  <si>
    <t>BEEF SKEWERS</t>
  </si>
  <si>
    <t>Chinese Beef Skewers, 2 (Tillys) - Dish</t>
  </si>
  <si>
    <t>BEEF SLIDER PLATTER FUNCTION</t>
  </si>
  <si>
    <t>Korean Cheeseburger Platter (Tillys) - Platter</t>
  </si>
  <si>
    <t>BEEF TATAKI</t>
  </si>
  <si>
    <t>Tri Tip Tataki (Tillys) - Dish</t>
  </si>
  <si>
    <t>c. BEEF SKEWER</t>
  </si>
  <si>
    <t>None</t>
  </si>
  <si>
    <t>⚠️</t>
  </si>
  <si>
    <t>c. CHICKEN KARAAGE LOLLIPOP</t>
  </si>
  <si>
    <t>c. CHIX BAO</t>
  </si>
  <si>
    <t>c. DUMPLINGS</t>
  </si>
  <si>
    <t>c. Fritter</t>
  </si>
  <si>
    <t>c. MUSH BAO</t>
  </si>
  <si>
    <t>c. PORK BITE</t>
  </si>
  <si>
    <t>c. RICE CAKE</t>
  </si>
  <si>
    <t>CAKEAGE</t>
  </si>
  <si>
    <t>CHARCUTERIE &amp; CHEESE BOARD</t>
  </si>
  <si>
    <t>Charcuterie &amp; Cheese Board (Tillys) - Platter</t>
  </si>
  <si>
    <t xml:space="preserve">CHICKEN BAO </t>
  </si>
  <si>
    <t>Fried Chicken Bao, 1 (Tillys) - Dish</t>
  </si>
  <si>
    <t>CHICKPEA FRITTERS</t>
  </si>
  <si>
    <t>Chickpea Fritters (Tillys) - Dish</t>
  </si>
  <si>
    <t>CHIX SLIDER PLATTER FUNCTION</t>
  </si>
  <si>
    <t>Chicken Slider Platter (Tillys) - Platter</t>
  </si>
  <si>
    <t>CORN &amp; COCONUT TART</t>
  </si>
  <si>
    <t xml:space="preserve">Coconut &amp; Corn Catalan (Tillys) - Dish </t>
  </si>
  <si>
    <t>CUCUMBER SALAD</t>
  </si>
  <si>
    <t>Cucumber Salad (Tillys) - Dish</t>
  </si>
  <si>
    <t>CYS FUNCTION FISH GOUJON BOWL</t>
  </si>
  <si>
    <t>DUMPLING PLATTER FUNCTION</t>
  </si>
  <si>
    <t>Dumpling Lover (Tillys) - Platter</t>
  </si>
  <si>
    <t>EXTRA FURIKAKE MAYO</t>
  </si>
  <si>
    <t>EXTRA PINEAPPLE SAUCE</t>
  </si>
  <si>
    <t>EXTRA TOMATO SAUCE</t>
  </si>
  <si>
    <t>Add Tomato Sauce (TMG) - Modifier</t>
  </si>
  <si>
    <t>EXTRA WASABI MAYO</t>
  </si>
  <si>
    <t>FAILED ORDER CHECK QR</t>
  </si>
  <si>
    <t>FRIED PORK &amp; CHIVE DPLS (5) (NF, DF)</t>
  </si>
  <si>
    <t>FRIED PORK &amp; CHIVE DPLS (6) (NF, DF)</t>
  </si>
  <si>
    <t>Pork and Chive Dumplings (Tillys) - Dish</t>
  </si>
  <si>
    <t>FUNCTION DESSERT BOARD</t>
  </si>
  <si>
    <t>Dessert Board (Tillys) - Platter</t>
  </si>
  <si>
    <t xml:space="preserve">KARAAGE CHICKEN </t>
  </si>
  <si>
    <t>Karaage Chicken (Tillys) - Dish</t>
  </si>
  <si>
    <t>KIDS FISH GOUJON</t>
  </si>
  <si>
    <t>Fish Goujon, Kids (Tillys) - Dish</t>
  </si>
  <si>
    <t xml:space="preserve">KIDS KARAAGE </t>
  </si>
  <si>
    <t>Chicken Karaage, Kids (Tillys) - Dish</t>
  </si>
  <si>
    <t xml:space="preserve">LOADED POTATOES </t>
  </si>
  <si>
    <t>Loaded Katsu Curry Potatoes (Tillys) - Dish</t>
  </si>
  <si>
    <t>LYCHEE GRANITA</t>
  </si>
  <si>
    <t>Oysters - Cooked (12)(Tillys) - Dish</t>
  </si>
  <si>
    <t>MAC &amp; CHEESE RICE CAKES</t>
  </si>
  <si>
    <t>Korean Mac &amp; Cheese Rice Cakes (Tillys) - Dish</t>
  </si>
  <si>
    <t xml:space="preserve">MUSHROOM BAO </t>
  </si>
  <si>
    <t>Oyster Mushroom Bao, 1 (Tillys) - Dish</t>
  </si>
  <si>
    <t xml:space="preserve">NATURAL </t>
  </si>
  <si>
    <t>OYSTER (12)</t>
  </si>
  <si>
    <t>OYSTER (3)</t>
  </si>
  <si>
    <t>OYSTER (6)</t>
  </si>
  <si>
    <t>PORK BELLY BAO</t>
  </si>
  <si>
    <t>Char Sui Pork Belly Bao, 1 (Tillys) - Dish</t>
  </si>
  <si>
    <t>PORK BELLY BITES</t>
  </si>
  <si>
    <t>Char Sui Pork Belly Bites (Tillys) - Dish</t>
  </si>
  <si>
    <t>SHOESTRING FRIES (GF, NF &amp; V)</t>
  </si>
  <si>
    <t>Ramen Fries (Tillys) - Dish</t>
  </si>
  <si>
    <t>SIDE FRESH CHILLI</t>
  </si>
  <si>
    <t>SIDE JASMINE RICE )(NF, VGN,V,GF,DF)</t>
  </si>
  <si>
    <t>Steamed Jasmine Rice (Tillys) - Dish</t>
  </si>
  <si>
    <t>SKEWER PLATTER FUNCTION</t>
  </si>
  <si>
    <t>Street Eats Skewers (Tillys) - Platter</t>
  </si>
  <si>
    <t>SOFT SHELL CRAB</t>
  </si>
  <si>
    <t>Soft Shell Crab 25 (Tillys) - Dish</t>
  </si>
  <si>
    <t>STEAMED SCALLOP &amp; PRAWN DPLS (3) (NF, DF)</t>
  </si>
  <si>
    <t>STEAMED SCALLOP &amp; PRAWN DPLS (4) (NF, DF)</t>
  </si>
  <si>
    <t>Scallop and Prawn Dumplings (Tillys) - Dish</t>
  </si>
  <si>
    <t>STEAMED VEGETARIAN DPLS (3) (NFO,VGN,V,DF)</t>
  </si>
  <si>
    <t>STEAMED VEGETARIAN DPLS (4) (NFO,VGN,V,DF)</t>
  </si>
  <si>
    <t>Vegetarian Dumplings (Tillys) - Dish</t>
  </si>
  <si>
    <t>SWAP TO TOMATO SAUCE</t>
  </si>
  <si>
    <t>TILLYS PLATTER FUNCTION</t>
  </si>
  <si>
    <t>Tillys Platter (Tillys) - Platter</t>
  </si>
  <si>
    <t>TUNA CRUDO</t>
  </si>
  <si>
    <t>Miso Tuna, Soy, Cucumber and Coriander (Tillys) - Dish</t>
  </si>
  <si>
    <t>WASABI SOY</t>
  </si>
  <si>
    <t>WITH FRIES</t>
  </si>
  <si>
    <t>WITH RICE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</si>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</sst>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6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8.65</v>
      </c>
      <c r="D7" s="3">
        <v>120</v>
      </c>
      <c r="E7" s="19">
        <v>1038</v>
      </c>
      <c r="F7" s="16">
        <v>30</v>
      </c>
      <c r="G7" s="16">
        <v>3600</v>
      </c>
      <c r="H7" s="16">
        <v>327.6</v>
      </c>
      <c r="I7" s="16">
        <v>3600</v>
      </c>
      <c r="J7" s="20">
        <v>0.3172</v>
      </c>
      <c r="K7" s="20">
        <v>0.6828</v>
      </c>
    </row>
    <row r="8" s="3" customFormat="1">
      <c r="A8" s="3" t="s">
        <v>20</v>
      </c>
      <c r="B8" s="14" t="s">
        <v>21</v>
      </c>
      <c r="C8" s="15">
        <v>4.95</v>
      </c>
      <c r="D8" s="3">
        <v>135</v>
      </c>
      <c r="E8" s="19">
        <v>668.25</v>
      </c>
      <c r="F8" s="16">
        <v>21</v>
      </c>
      <c r="G8" s="16">
        <v>2732.1</v>
      </c>
      <c r="H8" s="16">
        <v>246.7101</v>
      </c>
      <c r="I8" s="16">
        <v>2711.1</v>
      </c>
      <c r="J8" s="20">
        <v>0.2712</v>
      </c>
      <c r="K8" s="20">
        <v>0.7288</v>
      </c>
    </row>
    <row r="9" s="3" customFormat="1">
      <c r="A9" s="3" t="s">
        <v>22</v>
      </c>
      <c r="B9" s="14" t="s">
        <v>23</v>
      </c>
      <c r="C9" s="15">
        <v>3.14</v>
      </c>
      <c r="D9" s="3">
        <v>218</v>
      </c>
      <c r="E9" s="19">
        <v>684.52</v>
      </c>
      <c r="F9" s="16">
        <v>18</v>
      </c>
      <c r="G9" s="16">
        <v>3650.4</v>
      </c>
      <c r="H9" s="16">
        <v>323.8433</v>
      </c>
      <c r="I9" s="16">
        <v>3558.7177</v>
      </c>
      <c r="J9" s="20">
        <v>0.2116</v>
      </c>
      <c r="K9" s="20">
        <v>0.7884</v>
      </c>
    </row>
    <row r="10" s="3" customFormat="1">
      <c r="A10" s="3" t="s">
        <v>24</v>
      </c>
      <c r="B10" s="14" t="s">
        <v>25</v>
      </c>
      <c r="C10" s="15">
        <v>43.1</v>
      </c>
      <c r="D10" s="3">
        <v>1</v>
      </c>
      <c r="E10" s="19">
        <v>43.1</v>
      </c>
      <c r="F10" s="16">
        <v>180</v>
      </c>
      <c r="G10" s="16">
        <v>180</v>
      </c>
      <c r="H10" s="16">
        <v>16.38</v>
      </c>
      <c r="I10" s="16">
        <v>180</v>
      </c>
      <c r="J10" s="20">
        <v>0.2634</v>
      </c>
      <c r="K10" s="20">
        <v>0.7366</v>
      </c>
    </row>
    <row r="11" s="3" customFormat="1">
      <c r="A11" s="3" t="s">
        <v>26</v>
      </c>
      <c r="B11" s="14" t="s">
        <v>27</v>
      </c>
      <c r="C11" s="15">
        <v>4.33</v>
      </c>
      <c r="D11" s="3">
        <v>88</v>
      </c>
      <c r="E11" s="19">
        <v>381.04</v>
      </c>
      <c r="F11" s="16">
        <v>24</v>
      </c>
      <c r="G11" s="16">
        <v>2080.8</v>
      </c>
      <c r="H11" s="16">
        <v>189.3528</v>
      </c>
      <c r="I11" s="16">
        <v>2080.8</v>
      </c>
      <c r="J11" s="20">
        <v>0.2015</v>
      </c>
      <c r="K11" s="20">
        <v>0.7985</v>
      </c>
    </row>
    <row r="12" s="3" customFormat="1">
      <c r="A12" s="3" t="s">
        <v>28</v>
      </c>
      <c r="B12" s="14" t="s">
        <v>29</v>
      </c>
      <c r="C12" s="15">
        <v>0</v>
      </c>
      <c r="D12" s="3">
        <v>120</v>
      </c>
      <c r="E12" s="19">
        <v>0</v>
      </c>
      <c r="F12" s="16">
        <v>0</v>
      </c>
      <c r="G12" s="16">
        <v>0</v>
      </c>
      <c r="H12" s="16">
        <v>0</v>
      </c>
      <c r="I12" s="16">
        <v>0</v>
      </c>
      <c r="J12" s="28" t="s">
        <v>30</v>
      </c>
      <c r="K12" s="28" t="s">
        <v>30</v>
      </c>
    </row>
    <row r="13" s="3" customFormat="1">
      <c r="A13" s="3" t="s">
        <v>31</v>
      </c>
      <c r="B13" s="14" t="s">
        <v>29</v>
      </c>
      <c r="C13" s="15">
        <v>0</v>
      </c>
      <c r="D13" s="3">
        <v>120</v>
      </c>
      <c r="E13" s="19">
        <v>0</v>
      </c>
      <c r="F13" s="16">
        <v>0</v>
      </c>
      <c r="G13" s="16">
        <v>0</v>
      </c>
      <c r="H13" s="16">
        <v>0</v>
      </c>
      <c r="I13" s="16">
        <v>0</v>
      </c>
      <c r="J13" s="28" t="s">
        <v>30</v>
      </c>
      <c r="K13" s="28" t="s">
        <v>30</v>
      </c>
    </row>
    <row r="14" s="3" customFormat="1">
      <c r="A14" s="3" t="s">
        <v>32</v>
      </c>
      <c r="B14" s="14" t="s">
        <v>29</v>
      </c>
      <c r="C14" s="15">
        <v>0</v>
      </c>
      <c r="D14" s="3">
        <v>32</v>
      </c>
      <c r="E14" s="19">
        <v>0</v>
      </c>
      <c r="F14" s="16">
        <v>0</v>
      </c>
      <c r="G14" s="16">
        <v>0</v>
      </c>
      <c r="H14" s="16">
        <v>0</v>
      </c>
      <c r="I14" s="16">
        <v>0</v>
      </c>
      <c r="J14" s="28" t="s">
        <v>30</v>
      </c>
      <c r="K14" s="28" t="s">
        <v>30</v>
      </c>
    </row>
    <row r="15" s="3" customFormat="1">
      <c r="A15" s="3" t="s">
        <v>33</v>
      </c>
      <c r="B15" s="14" t="s">
        <v>29</v>
      </c>
      <c r="C15" s="15">
        <v>0</v>
      </c>
      <c r="D15" s="3">
        <v>52</v>
      </c>
      <c r="E15" s="19">
        <v>0</v>
      </c>
      <c r="F15" s="16">
        <v>0</v>
      </c>
      <c r="G15" s="16">
        <v>0</v>
      </c>
      <c r="H15" s="16">
        <v>0</v>
      </c>
      <c r="I15" s="16">
        <v>0</v>
      </c>
      <c r="J15" s="28" t="s">
        <v>30</v>
      </c>
      <c r="K15" s="28" t="s">
        <v>30</v>
      </c>
    </row>
    <row r="16" s="3" customFormat="1">
      <c r="A16" s="3" t="s">
        <v>34</v>
      </c>
      <c r="B16" s="14" t="s">
        <v>29</v>
      </c>
      <c r="C16" s="15">
        <v>0</v>
      </c>
      <c r="D16" s="3">
        <v>120</v>
      </c>
      <c r="E16" s="19">
        <v>0</v>
      </c>
      <c r="F16" s="16">
        <v>0</v>
      </c>
      <c r="G16" s="16">
        <v>0</v>
      </c>
      <c r="H16" s="16">
        <v>0</v>
      </c>
      <c r="I16" s="16">
        <v>0</v>
      </c>
      <c r="J16" s="28" t="s">
        <v>30</v>
      </c>
      <c r="K16" s="28" t="s">
        <v>30</v>
      </c>
    </row>
    <row r="17" s="3" customFormat="1">
      <c r="A17" s="3" t="s">
        <v>35</v>
      </c>
      <c r="B17" s="14" t="s">
        <v>29</v>
      </c>
      <c r="C17" s="15">
        <v>0</v>
      </c>
      <c r="D17" s="3">
        <v>20</v>
      </c>
      <c r="E17" s="19">
        <v>0</v>
      </c>
      <c r="F17" s="16">
        <v>0</v>
      </c>
      <c r="G17" s="16">
        <v>0</v>
      </c>
      <c r="H17" s="16">
        <v>0</v>
      </c>
      <c r="I17" s="16">
        <v>0</v>
      </c>
      <c r="J17" s="28" t="s">
        <v>30</v>
      </c>
      <c r="K17" s="28" t="s">
        <v>30</v>
      </c>
    </row>
    <row r="18" s="3" customFormat="1">
      <c r="A18" s="3" t="s">
        <v>36</v>
      </c>
      <c r="B18" s="14" t="s">
        <v>29</v>
      </c>
      <c r="C18" s="15">
        <v>0</v>
      </c>
      <c r="D18" s="3">
        <v>68</v>
      </c>
      <c r="E18" s="19">
        <v>0</v>
      </c>
      <c r="F18" s="16">
        <v>0</v>
      </c>
      <c r="G18" s="16">
        <v>0</v>
      </c>
      <c r="H18" s="16">
        <v>0</v>
      </c>
      <c r="I18" s="16">
        <v>0</v>
      </c>
      <c r="J18" s="28" t="s">
        <v>30</v>
      </c>
      <c r="K18" s="28" t="s">
        <v>30</v>
      </c>
    </row>
    <row r="19" s="3" customFormat="1">
      <c r="A19" s="3" t="s">
        <v>37</v>
      </c>
      <c r="B19" s="14" t="s">
        <v>29</v>
      </c>
      <c r="C19" s="15">
        <v>0</v>
      </c>
      <c r="D19" s="3">
        <v>68</v>
      </c>
      <c r="E19" s="19">
        <v>0</v>
      </c>
      <c r="F19" s="16">
        <v>0</v>
      </c>
      <c r="G19" s="16">
        <v>0</v>
      </c>
      <c r="H19" s="16">
        <v>0</v>
      </c>
      <c r="I19" s="16">
        <v>0</v>
      </c>
      <c r="J19" s="28" t="s">
        <v>30</v>
      </c>
      <c r="K19" s="28" t="s">
        <v>30</v>
      </c>
    </row>
    <row r="20" s="3" customFormat="1">
      <c r="A20" s="3" t="s">
        <v>38</v>
      </c>
      <c r="B20" s="14" t="s">
        <v>29</v>
      </c>
      <c r="C20" s="15">
        <v>0</v>
      </c>
      <c r="D20" s="3">
        <v>68</v>
      </c>
      <c r="E20" s="19">
        <v>0</v>
      </c>
      <c r="F20" s="16">
        <v>3</v>
      </c>
      <c r="G20" s="16">
        <v>204</v>
      </c>
      <c r="H20" s="16">
        <v>18.564</v>
      </c>
      <c r="I20" s="16">
        <v>204</v>
      </c>
      <c r="J20" s="28" t="s">
        <v>30</v>
      </c>
      <c r="K20" s="28" t="s">
        <v>30</v>
      </c>
    </row>
    <row r="21" s="3" customFormat="1">
      <c r="A21" s="3" t="s">
        <v>39</v>
      </c>
      <c r="B21" s="14" t="s">
        <v>40</v>
      </c>
      <c r="C21" s="15">
        <v>69.68</v>
      </c>
      <c r="D21" s="3">
        <v>4</v>
      </c>
      <c r="E21" s="19">
        <v>278.72</v>
      </c>
      <c r="F21" s="16">
        <v>240</v>
      </c>
      <c r="G21" s="16">
        <v>960</v>
      </c>
      <c r="H21" s="16">
        <v>87.36</v>
      </c>
      <c r="I21" s="16">
        <v>960</v>
      </c>
      <c r="J21" s="20">
        <v>0.3194</v>
      </c>
      <c r="K21" s="20">
        <v>0.6806</v>
      </c>
    </row>
    <row r="22" s="3" customFormat="1">
      <c r="A22" s="3" t="s">
        <v>41</v>
      </c>
      <c r="B22" s="14" t="s">
        <v>42</v>
      </c>
      <c r="C22" s="15">
        <v>1.87</v>
      </c>
      <c r="D22" s="3">
        <v>355</v>
      </c>
      <c r="E22" s="19">
        <v>663.85</v>
      </c>
      <c r="F22" s="16">
        <v>10</v>
      </c>
      <c r="G22" s="16">
        <v>3466</v>
      </c>
      <c r="H22" s="16">
        <v>307.4329</v>
      </c>
      <c r="I22" s="16">
        <v>3378.384</v>
      </c>
      <c r="J22" s="20">
        <v>0.2162</v>
      </c>
      <c r="K22" s="20">
        <v>0.7838</v>
      </c>
    </row>
    <row r="23" s="3" customFormat="1">
      <c r="A23" s="3" t="s">
        <v>43</v>
      </c>
      <c r="B23" s="14" t="s">
        <v>44</v>
      </c>
      <c r="C23" s="15">
        <v>2.47</v>
      </c>
      <c r="D23" s="3">
        <v>80</v>
      </c>
      <c r="E23" s="19">
        <v>197.60000000000002</v>
      </c>
      <c r="F23" s="16">
        <v>16</v>
      </c>
      <c r="G23" s="16">
        <v>1249.6</v>
      </c>
      <c r="H23" s="16">
        <v>113.3627</v>
      </c>
      <c r="I23" s="16">
        <v>1245.7445</v>
      </c>
      <c r="J23" s="20">
        <v>0.1745</v>
      </c>
      <c r="K23" s="20">
        <v>0.8255</v>
      </c>
    </row>
    <row r="24" s="3" customFormat="1">
      <c r="A24" s="3" t="s">
        <v>45</v>
      </c>
      <c r="B24" s="14" t="s">
        <v>46</v>
      </c>
      <c r="C24" s="15">
        <v>35.32</v>
      </c>
      <c r="D24" s="3">
        <v>1</v>
      </c>
      <c r="E24" s="19">
        <v>35.32</v>
      </c>
      <c r="F24" s="16">
        <v>180</v>
      </c>
      <c r="G24" s="16">
        <v>180</v>
      </c>
      <c r="H24" s="16">
        <v>16.38</v>
      </c>
      <c r="I24" s="16">
        <v>180</v>
      </c>
      <c r="J24" s="20">
        <v>0.2159</v>
      </c>
      <c r="K24" s="20">
        <v>0.7841</v>
      </c>
    </row>
    <row r="25" s="3" customFormat="1">
      <c r="A25" s="3" t="s">
        <v>47</v>
      </c>
      <c r="B25" s="14" t="s">
        <v>48</v>
      </c>
      <c r="C25" s="15">
        <v>2.27</v>
      </c>
      <c r="D25" s="3">
        <v>11</v>
      </c>
      <c r="E25" s="19">
        <v>24.97</v>
      </c>
      <c r="F25" s="16">
        <v>15</v>
      </c>
      <c r="G25" s="16">
        <v>165</v>
      </c>
      <c r="H25" s="16">
        <v>15.015</v>
      </c>
      <c r="I25" s="16">
        <v>165</v>
      </c>
      <c r="J25" s="20">
        <v>0.1665</v>
      </c>
      <c r="K25" s="20">
        <v>0.8335</v>
      </c>
    </row>
    <row r="26" s="3" customFormat="1">
      <c r="A26" s="3" t="s">
        <v>49</v>
      </c>
      <c r="B26" s="14" t="s">
        <v>50</v>
      </c>
      <c r="C26" s="15">
        <v>2.57</v>
      </c>
      <c r="D26" s="3">
        <v>92</v>
      </c>
      <c r="E26" s="19">
        <v>236.44</v>
      </c>
      <c r="F26" s="16">
        <v>15</v>
      </c>
      <c r="G26" s="16">
        <v>1362</v>
      </c>
      <c r="H26" s="16">
        <v>122.577</v>
      </c>
      <c r="I26" s="16">
        <v>1347</v>
      </c>
      <c r="J26" s="20">
        <v>0.1931</v>
      </c>
      <c r="K26" s="20">
        <v>0.8069</v>
      </c>
    </row>
    <row r="27" s="3" customFormat="1">
      <c r="A27" s="3" t="s">
        <v>51</v>
      </c>
      <c r="B27" s="14" t="s">
        <v>29</v>
      </c>
      <c r="C27" s="15">
        <v>0</v>
      </c>
      <c r="D27" s="3">
        <v>5</v>
      </c>
      <c r="E27" s="19">
        <v>0</v>
      </c>
      <c r="F27" s="16">
        <v>75</v>
      </c>
      <c r="G27" s="16">
        <v>375</v>
      </c>
      <c r="H27" s="16">
        <v>34.125</v>
      </c>
      <c r="I27" s="16">
        <v>375</v>
      </c>
      <c r="J27" s="28" t="s">
        <v>30</v>
      </c>
      <c r="K27" s="28" t="s">
        <v>30</v>
      </c>
    </row>
    <row r="28" s="3" customFormat="1">
      <c r="A28" s="3" t="s">
        <v>52</v>
      </c>
      <c r="B28" s="14" t="s">
        <v>53</v>
      </c>
      <c r="C28" s="15">
        <v>43.42</v>
      </c>
      <c r="D28" s="3">
        <v>4</v>
      </c>
      <c r="E28" s="19">
        <v>173.68</v>
      </c>
      <c r="F28" s="16">
        <v>180</v>
      </c>
      <c r="G28" s="16">
        <v>720</v>
      </c>
      <c r="H28" s="16">
        <v>65.52</v>
      </c>
      <c r="I28" s="16">
        <v>720</v>
      </c>
      <c r="J28" s="20">
        <v>0.2654</v>
      </c>
      <c r="K28" s="20">
        <v>0.7346</v>
      </c>
    </row>
    <row r="29" s="3" customFormat="1">
      <c r="A29" s="3" t="s">
        <v>54</v>
      </c>
      <c r="B29" s="14" t="s">
        <v>29</v>
      </c>
      <c r="C29" s="15">
        <v>0</v>
      </c>
      <c r="D29" s="3">
        <v>1</v>
      </c>
      <c r="E29" s="19">
        <v>0</v>
      </c>
      <c r="F29" s="16">
        <v>2</v>
      </c>
      <c r="G29" s="16">
        <v>2</v>
      </c>
      <c r="H29" s="16">
        <v>0.182</v>
      </c>
      <c r="I29" s="16">
        <v>2</v>
      </c>
      <c r="J29" s="28" t="s">
        <v>30</v>
      </c>
      <c r="K29" s="28" t="s">
        <v>30</v>
      </c>
    </row>
    <row r="30" s="3" customFormat="1">
      <c r="A30" s="3" t="s">
        <v>55</v>
      </c>
      <c r="B30" s="14" t="s">
        <v>29</v>
      </c>
      <c r="C30" s="15">
        <v>0</v>
      </c>
      <c r="D30" s="3">
        <v>1</v>
      </c>
      <c r="E30" s="19">
        <v>0</v>
      </c>
      <c r="F30" s="16">
        <v>2</v>
      </c>
      <c r="G30" s="16">
        <v>2</v>
      </c>
      <c r="H30" s="16">
        <v>0.182</v>
      </c>
      <c r="I30" s="16">
        <v>2</v>
      </c>
      <c r="J30" s="28" t="s">
        <v>30</v>
      </c>
      <c r="K30" s="28" t="s">
        <v>30</v>
      </c>
    </row>
    <row r="31" s="3" customFormat="1">
      <c r="A31" s="3" t="s">
        <v>56</v>
      </c>
      <c r="B31" s="14" t="s">
        <v>57</v>
      </c>
      <c r="C31" s="15">
        <v>0.15</v>
      </c>
      <c r="D31" s="3">
        <v>1</v>
      </c>
      <c r="E31" s="19">
        <v>0.15</v>
      </c>
      <c r="F31" s="16">
        <v>0.5</v>
      </c>
      <c r="G31" s="16">
        <v>0.5</v>
      </c>
      <c r="H31" s="16">
        <v>0.0455</v>
      </c>
      <c r="I31" s="16">
        <v>0.5</v>
      </c>
      <c r="J31" s="20">
        <v>0.33</v>
      </c>
      <c r="K31" s="20">
        <v>0.67</v>
      </c>
    </row>
    <row r="32" s="3" customFormat="1">
      <c r="A32" s="3" t="s">
        <v>58</v>
      </c>
      <c r="B32" s="14" t="s">
        <v>29</v>
      </c>
      <c r="C32" s="15">
        <v>0</v>
      </c>
      <c r="D32" s="3">
        <v>1</v>
      </c>
      <c r="E32" s="19">
        <v>0</v>
      </c>
      <c r="F32" s="16">
        <v>2</v>
      </c>
      <c r="G32" s="16">
        <v>0</v>
      </c>
      <c r="H32" s="16">
        <v>0</v>
      </c>
      <c r="I32" s="16">
        <v>0</v>
      </c>
      <c r="J32" s="28" t="s">
        <v>30</v>
      </c>
      <c r="K32" s="28" t="s">
        <v>30</v>
      </c>
    </row>
    <row r="33" s="3" customFormat="1">
      <c r="A33" s="3" t="s">
        <v>59</v>
      </c>
      <c r="B33" s="14" t="s">
        <v>29</v>
      </c>
      <c r="C33" s="15">
        <v>0</v>
      </c>
      <c r="D33" s="3">
        <v>2</v>
      </c>
      <c r="E33" s="19">
        <v>0</v>
      </c>
      <c r="F33" s="16">
        <v>0</v>
      </c>
      <c r="G33" s="16">
        <v>0</v>
      </c>
      <c r="H33" s="16">
        <v>0</v>
      </c>
      <c r="I33" s="16">
        <v>0</v>
      </c>
      <c r="J33" s="28" t="s">
        <v>30</v>
      </c>
      <c r="K33" s="28" t="s">
        <v>30</v>
      </c>
    </row>
    <row r="34" s="3" customFormat="1">
      <c r="A34" s="3" t="s">
        <v>60</v>
      </c>
      <c r="B34" s="14" t="s">
        <v>29</v>
      </c>
      <c r="C34" s="15">
        <v>0</v>
      </c>
      <c r="D34" s="3">
        <v>93</v>
      </c>
      <c r="E34" s="19">
        <v>0</v>
      </c>
      <c r="F34" s="16">
        <v>17</v>
      </c>
      <c r="G34" s="16">
        <v>1553.8</v>
      </c>
      <c r="H34" s="16">
        <v>139.5276</v>
      </c>
      <c r="I34" s="16">
        <v>1533.2707</v>
      </c>
      <c r="J34" s="28" t="s">
        <v>30</v>
      </c>
      <c r="K34" s="28" t="s">
        <v>30</v>
      </c>
    </row>
    <row r="35">
      <c r="A35" s="3" t="s">
        <v>61</v>
      </c>
      <c r="B35" s="14" t="s">
        <v>62</v>
      </c>
      <c r="C35" s="15">
        <v>4.52</v>
      </c>
      <c r="D35" s="3">
        <v>186</v>
      </c>
      <c r="E35" s="19">
        <v>840.71999999999991</v>
      </c>
      <c r="F35" s="16">
        <v>17</v>
      </c>
      <c r="G35" s="16">
        <v>3080.4</v>
      </c>
      <c r="H35" s="16">
        <v>274.1284</v>
      </c>
      <c r="I35" s="16">
        <v>3012.4</v>
      </c>
      <c r="J35" s="20">
        <v>0.307</v>
      </c>
      <c r="K35" s="20">
        <v>0.693</v>
      </c>
    </row>
    <row r="36">
      <c r="A36" s="3" t="s">
        <v>63</v>
      </c>
      <c r="B36" s="14" t="s">
        <v>64</v>
      </c>
      <c r="C36" s="15">
        <v>68.74</v>
      </c>
      <c r="D36" s="3">
        <v>3</v>
      </c>
      <c r="E36" s="19">
        <v>206.21999999999997</v>
      </c>
      <c r="F36" s="16">
        <v>240</v>
      </c>
      <c r="G36" s="16">
        <v>720</v>
      </c>
      <c r="H36" s="16">
        <v>65.52</v>
      </c>
      <c r="I36" s="16">
        <v>720</v>
      </c>
      <c r="J36" s="20">
        <v>0.3151</v>
      </c>
      <c r="K36" s="20">
        <v>0.6849</v>
      </c>
    </row>
    <row r="37">
      <c r="A37" s="3" t="s">
        <v>65</v>
      </c>
      <c r="B37" s="14" t="s">
        <v>66</v>
      </c>
      <c r="C37" s="15">
        <v>5.44</v>
      </c>
      <c r="D37" s="3">
        <v>245</v>
      </c>
      <c r="E37" s="19">
        <v>1332.8000000000002</v>
      </c>
      <c r="F37" s="16">
        <v>23</v>
      </c>
      <c r="G37" s="16">
        <v>5506.2</v>
      </c>
      <c r="H37" s="16">
        <v>490.5992</v>
      </c>
      <c r="I37" s="16">
        <v>5391.2</v>
      </c>
      <c r="J37" s="20">
        <v>0.272</v>
      </c>
      <c r="K37" s="20">
        <v>0.728</v>
      </c>
    </row>
    <row r="38">
      <c r="A38" s="3" t="s">
        <v>67</v>
      </c>
      <c r="B38" s="14" t="s">
        <v>68</v>
      </c>
      <c r="C38" s="15">
        <v>3.2</v>
      </c>
      <c r="D38" s="3">
        <v>20</v>
      </c>
      <c r="E38" s="19">
        <v>64</v>
      </c>
      <c r="F38" s="16">
        <v>15</v>
      </c>
      <c r="G38" s="16">
        <v>261</v>
      </c>
      <c r="H38" s="16">
        <v>22.4632</v>
      </c>
      <c r="I38" s="16">
        <v>246.849</v>
      </c>
      <c r="J38" s="20">
        <v>0.2852</v>
      </c>
      <c r="K38" s="20">
        <v>0.7148</v>
      </c>
    </row>
    <row r="39">
      <c r="A39" s="3" t="s">
        <v>69</v>
      </c>
      <c r="B39" s="14" t="s">
        <v>70</v>
      </c>
      <c r="C39" s="15">
        <v>2.87</v>
      </c>
      <c r="D39" s="3">
        <v>48</v>
      </c>
      <c r="E39" s="19">
        <v>137.76</v>
      </c>
      <c r="F39" s="16">
        <v>15</v>
      </c>
      <c r="G39" s="16">
        <v>645</v>
      </c>
      <c r="H39" s="16">
        <v>58.695</v>
      </c>
      <c r="I39" s="16">
        <v>645</v>
      </c>
      <c r="J39" s="20">
        <v>0.235</v>
      </c>
      <c r="K39" s="20">
        <v>0.765</v>
      </c>
    </row>
    <row r="40">
      <c r="A40" s="3" t="s">
        <v>71</v>
      </c>
      <c r="B40" s="14" t="s">
        <v>72</v>
      </c>
      <c r="C40" s="15">
        <v>2.35</v>
      </c>
      <c r="D40" s="3">
        <v>199</v>
      </c>
      <c r="E40" s="19">
        <v>467.65000000000003</v>
      </c>
      <c r="F40" s="16">
        <v>16</v>
      </c>
      <c r="G40" s="16">
        <v>3128</v>
      </c>
      <c r="H40" s="16">
        <v>278.0384</v>
      </c>
      <c r="I40" s="16">
        <v>3055.3683</v>
      </c>
      <c r="J40" s="20">
        <v>0.1684</v>
      </c>
      <c r="K40" s="20">
        <v>0.8316</v>
      </c>
    </row>
    <row r="41">
      <c r="A41" s="3" t="s">
        <v>73</v>
      </c>
      <c r="B41" s="14" t="s">
        <v>74</v>
      </c>
      <c r="C41" s="15">
        <v>25.2</v>
      </c>
      <c r="D41" s="3">
        <v>15</v>
      </c>
      <c r="E41" s="19">
        <v>378</v>
      </c>
      <c r="F41" s="16">
        <v>0</v>
      </c>
      <c r="G41" s="16">
        <v>0</v>
      </c>
      <c r="H41" s="16">
        <v>0</v>
      </c>
      <c r="I41" s="16">
        <v>0</v>
      </c>
      <c r="J41" s="28" t="s">
        <v>30</v>
      </c>
      <c r="K41" s="28" t="s">
        <v>30</v>
      </c>
    </row>
    <row r="42">
      <c r="A42" s="3" t="s">
        <v>75</v>
      </c>
      <c r="B42" s="14" t="s">
        <v>76</v>
      </c>
      <c r="C42" s="15">
        <v>1.79</v>
      </c>
      <c r="D42" s="3">
        <v>198</v>
      </c>
      <c r="E42" s="19">
        <v>354.42</v>
      </c>
      <c r="F42" s="16">
        <v>16</v>
      </c>
      <c r="G42" s="16">
        <v>3120</v>
      </c>
      <c r="H42" s="16">
        <v>283.5691</v>
      </c>
      <c r="I42" s="16">
        <v>3116.1445</v>
      </c>
      <c r="J42" s="20">
        <v>0.1251</v>
      </c>
      <c r="K42" s="20">
        <v>0.8749</v>
      </c>
    </row>
    <row r="43">
      <c r="A43" s="3" t="s">
        <v>77</v>
      </c>
      <c r="B43" s="14" t="s">
        <v>78</v>
      </c>
      <c r="C43" s="15">
        <v>2.15</v>
      </c>
      <c r="D43" s="3">
        <v>41</v>
      </c>
      <c r="E43" s="19">
        <v>88.149999999999991</v>
      </c>
      <c r="F43" s="16">
        <v>10</v>
      </c>
      <c r="G43" s="16">
        <v>407</v>
      </c>
      <c r="H43" s="16">
        <v>36.4937</v>
      </c>
      <c r="I43" s="16">
        <v>401.0298</v>
      </c>
      <c r="J43" s="20">
        <v>0.2418</v>
      </c>
      <c r="K43" s="20">
        <v>0.7582</v>
      </c>
    </row>
    <row r="44">
      <c r="A44" s="3" t="s">
        <v>79</v>
      </c>
      <c r="B44" s="14" t="s">
        <v>29</v>
      </c>
      <c r="C44" s="15">
        <v>0</v>
      </c>
      <c r="D44" s="3">
        <v>19</v>
      </c>
      <c r="E44" s="19">
        <v>0</v>
      </c>
      <c r="F44" s="16">
        <v>0</v>
      </c>
      <c r="G44" s="16">
        <v>0</v>
      </c>
      <c r="H44" s="16">
        <v>0</v>
      </c>
      <c r="I44" s="16">
        <v>0</v>
      </c>
      <c r="J44" s="28" t="s">
        <v>30</v>
      </c>
      <c r="K44" s="28" t="s">
        <v>30</v>
      </c>
    </row>
    <row r="45">
      <c r="A45" s="3" t="s">
        <v>80</v>
      </c>
      <c r="B45" s="14" t="s">
        <v>29</v>
      </c>
      <c r="C45" s="15">
        <v>0</v>
      </c>
      <c r="D45" s="3">
        <v>5</v>
      </c>
      <c r="E45" s="19">
        <v>0</v>
      </c>
      <c r="F45" s="16">
        <v>70</v>
      </c>
      <c r="G45" s="16">
        <v>350</v>
      </c>
      <c r="H45" s="16">
        <v>31.85</v>
      </c>
      <c r="I45" s="16">
        <v>350</v>
      </c>
      <c r="J45" s="28" t="s">
        <v>30</v>
      </c>
      <c r="K45" s="28" t="s">
        <v>30</v>
      </c>
    </row>
    <row r="46">
      <c r="A46" s="3" t="s">
        <v>81</v>
      </c>
      <c r="B46" s="14" t="s">
        <v>29</v>
      </c>
      <c r="C46" s="15">
        <v>0</v>
      </c>
      <c r="D46" s="3">
        <v>29</v>
      </c>
      <c r="E46" s="19">
        <v>0</v>
      </c>
      <c r="F46" s="16">
        <v>18</v>
      </c>
      <c r="G46" s="16">
        <v>522</v>
      </c>
      <c r="H46" s="16">
        <v>47.502</v>
      </c>
      <c r="I46" s="16">
        <v>522</v>
      </c>
      <c r="J46" s="28" t="s">
        <v>30</v>
      </c>
      <c r="K46" s="28" t="s">
        <v>30</v>
      </c>
    </row>
    <row r="47">
      <c r="A47" s="3" t="s">
        <v>82</v>
      </c>
      <c r="B47" s="14" t="s">
        <v>29</v>
      </c>
      <c r="C47" s="15">
        <v>0</v>
      </c>
      <c r="D47" s="3">
        <v>15</v>
      </c>
      <c r="E47" s="19">
        <v>0</v>
      </c>
      <c r="F47" s="16">
        <v>35</v>
      </c>
      <c r="G47" s="16">
        <v>525</v>
      </c>
      <c r="H47" s="16">
        <v>47.775</v>
      </c>
      <c r="I47" s="16">
        <v>525</v>
      </c>
      <c r="J47" s="28" t="s">
        <v>30</v>
      </c>
      <c r="K47" s="28" t="s">
        <v>30</v>
      </c>
    </row>
    <row r="48">
      <c r="A48" s="3" t="s">
        <v>83</v>
      </c>
      <c r="B48" s="14" t="s">
        <v>84</v>
      </c>
      <c r="C48" s="15">
        <v>2.05</v>
      </c>
      <c r="D48" s="3">
        <v>276</v>
      </c>
      <c r="E48" s="19">
        <v>565.8</v>
      </c>
      <c r="F48" s="16">
        <v>10</v>
      </c>
      <c r="G48" s="16">
        <v>2698</v>
      </c>
      <c r="H48" s="16">
        <v>241.9295</v>
      </c>
      <c r="I48" s="16">
        <v>2658.566</v>
      </c>
      <c r="J48" s="20">
        <v>0.2341</v>
      </c>
      <c r="K48" s="20">
        <v>0.7659</v>
      </c>
    </row>
    <row r="49">
      <c r="A49" s="3" t="s">
        <v>85</v>
      </c>
      <c r="B49" s="14" t="s">
        <v>86</v>
      </c>
      <c r="C49" s="15">
        <v>5.25</v>
      </c>
      <c r="D49" s="3">
        <v>335</v>
      </c>
      <c r="E49" s="19">
        <v>1758.75</v>
      </c>
      <c r="F49" s="16">
        <v>23</v>
      </c>
      <c r="G49" s="16">
        <v>7454.3</v>
      </c>
      <c r="H49" s="16">
        <v>676.2483</v>
      </c>
      <c r="I49" s="16">
        <v>7431.3</v>
      </c>
      <c r="J49" s="20">
        <v>0.2604</v>
      </c>
      <c r="K49" s="20">
        <v>0.7396</v>
      </c>
    </row>
    <row r="50">
      <c r="A50" s="3" t="s">
        <v>87</v>
      </c>
      <c r="B50" s="14" t="s">
        <v>88</v>
      </c>
      <c r="C50" s="15">
        <v>3.55</v>
      </c>
      <c r="D50" s="3">
        <v>479</v>
      </c>
      <c r="E50" s="19">
        <v>1700.4499999999998</v>
      </c>
      <c r="F50" s="16">
        <v>14</v>
      </c>
      <c r="G50" s="16">
        <v>6605.2</v>
      </c>
      <c r="H50" s="16">
        <v>598.7549</v>
      </c>
      <c r="I50" s="16">
        <v>6579.7245</v>
      </c>
      <c r="J50" s="20">
        <v>0.2843</v>
      </c>
      <c r="K50" s="20">
        <v>0.7157</v>
      </c>
    </row>
    <row r="51">
      <c r="A51" s="3" t="s">
        <v>89</v>
      </c>
      <c r="B51" s="14" t="s">
        <v>29</v>
      </c>
      <c r="C51" s="15">
        <v>0</v>
      </c>
      <c r="D51" s="3">
        <v>2</v>
      </c>
      <c r="E51" s="19">
        <v>0</v>
      </c>
      <c r="F51" s="16">
        <v>0</v>
      </c>
      <c r="G51" s="16">
        <v>0</v>
      </c>
      <c r="H51" s="16">
        <v>0</v>
      </c>
      <c r="I51" s="16">
        <v>0</v>
      </c>
      <c r="J51" s="28" t="s">
        <v>30</v>
      </c>
      <c r="K51" s="28" t="s">
        <v>30</v>
      </c>
    </row>
    <row r="52">
      <c r="A52" s="3" t="s">
        <v>90</v>
      </c>
      <c r="B52" s="14" t="s">
        <v>91</v>
      </c>
      <c r="C52" s="15">
        <v>0.79</v>
      </c>
      <c r="D52" s="3">
        <v>56</v>
      </c>
      <c r="E52" s="19">
        <v>44.24</v>
      </c>
      <c r="F52" s="16">
        <v>5</v>
      </c>
      <c r="G52" s="16">
        <v>175.5</v>
      </c>
      <c r="H52" s="16">
        <v>15.5155</v>
      </c>
      <c r="I52" s="16">
        <v>170.5</v>
      </c>
      <c r="J52" s="20">
        <v>0.2854</v>
      </c>
      <c r="K52" s="20">
        <v>0.7146</v>
      </c>
    </row>
    <row r="53">
      <c r="A53" s="3" t="s">
        <v>92</v>
      </c>
      <c r="B53" s="14" t="s">
        <v>93</v>
      </c>
      <c r="C53" s="15">
        <v>55.57</v>
      </c>
      <c r="D53" s="3">
        <v>4</v>
      </c>
      <c r="E53" s="19">
        <v>222.28</v>
      </c>
      <c r="F53" s="16">
        <v>220</v>
      </c>
      <c r="G53" s="16">
        <v>880</v>
      </c>
      <c r="H53" s="16">
        <v>80.08</v>
      </c>
      <c r="I53" s="16">
        <v>880</v>
      </c>
      <c r="J53" s="20">
        <v>0.2779</v>
      </c>
      <c r="K53" s="20">
        <v>0.7221</v>
      </c>
    </row>
    <row r="54">
      <c r="A54" s="3" t="s">
        <v>94</v>
      </c>
      <c r="B54" s="14" t="s">
        <v>95</v>
      </c>
      <c r="C54" s="15">
        <v>4.97</v>
      </c>
      <c r="D54" s="3">
        <v>110</v>
      </c>
      <c r="E54" s="19">
        <v>546.69999999999993</v>
      </c>
      <c r="F54" s="16">
        <v>24</v>
      </c>
      <c r="G54" s="16">
        <v>2505.6</v>
      </c>
      <c r="H54" s="16">
        <v>226.2194</v>
      </c>
      <c r="I54" s="16">
        <v>2485.9278</v>
      </c>
      <c r="J54" s="20">
        <v>0.2419</v>
      </c>
      <c r="K54" s="20">
        <v>0.7581</v>
      </c>
    </row>
    <row r="55">
      <c r="A55" s="3" t="s">
        <v>96</v>
      </c>
      <c r="B55" s="14" t="s">
        <v>29</v>
      </c>
      <c r="C55" s="15">
        <v>0</v>
      </c>
      <c r="D55" s="3">
        <v>64</v>
      </c>
      <c r="E55" s="19">
        <v>0</v>
      </c>
      <c r="F55" s="16">
        <v>17</v>
      </c>
      <c r="G55" s="16">
        <v>1071</v>
      </c>
      <c r="H55" s="16">
        <v>97.0882</v>
      </c>
      <c r="I55" s="16">
        <v>1066.9036</v>
      </c>
      <c r="J55" s="28" t="s">
        <v>30</v>
      </c>
      <c r="K55" s="28" t="s">
        <v>30</v>
      </c>
    </row>
    <row r="56">
      <c r="A56" s="3" t="s">
        <v>97</v>
      </c>
      <c r="B56" s="14" t="s">
        <v>98</v>
      </c>
      <c r="C56" s="15">
        <v>4.41</v>
      </c>
      <c r="D56" s="3">
        <v>167</v>
      </c>
      <c r="E56" s="19">
        <v>736.47</v>
      </c>
      <c r="F56" s="16">
        <v>17</v>
      </c>
      <c r="G56" s="16">
        <v>2735.3</v>
      </c>
      <c r="H56" s="16">
        <v>247.6442</v>
      </c>
      <c r="I56" s="16">
        <v>2721.3655</v>
      </c>
      <c r="J56" s="20">
        <v>0.2977</v>
      </c>
      <c r="K56" s="20">
        <v>0.7023</v>
      </c>
    </row>
    <row r="57">
      <c r="A57" s="3" t="s">
        <v>99</v>
      </c>
      <c r="B57" s="14" t="s">
        <v>29</v>
      </c>
      <c r="C57" s="15">
        <v>0</v>
      </c>
      <c r="D57" s="3">
        <v>35</v>
      </c>
      <c r="E57" s="19">
        <v>0</v>
      </c>
      <c r="F57" s="16">
        <v>14</v>
      </c>
      <c r="G57" s="16">
        <v>467.6</v>
      </c>
      <c r="H57" s="16">
        <v>42.1713</v>
      </c>
      <c r="I57" s="16">
        <v>463.4208</v>
      </c>
      <c r="J57" s="28" t="s">
        <v>30</v>
      </c>
      <c r="K57" s="28" t="s">
        <v>30</v>
      </c>
    </row>
    <row r="58">
      <c r="A58" s="3" t="s">
        <v>100</v>
      </c>
      <c r="B58" s="14" t="s">
        <v>101</v>
      </c>
      <c r="C58" s="15">
        <v>3.2</v>
      </c>
      <c r="D58" s="3">
        <v>94</v>
      </c>
      <c r="E58" s="19">
        <v>300.8</v>
      </c>
      <c r="F58" s="16">
        <v>14</v>
      </c>
      <c r="G58" s="16">
        <v>1283.8</v>
      </c>
      <c r="H58" s="16">
        <v>115.5518</v>
      </c>
      <c r="I58" s="16">
        <v>1269.8</v>
      </c>
      <c r="J58" s="20">
        <v>0.2606</v>
      </c>
      <c r="K58" s="20">
        <v>0.7394</v>
      </c>
    </row>
    <row r="59">
      <c r="A59" s="3" t="s">
        <v>102</v>
      </c>
      <c r="B59" s="14" t="s">
        <v>29</v>
      </c>
      <c r="C59" s="15">
        <v>0</v>
      </c>
      <c r="D59" s="3">
        <v>1</v>
      </c>
      <c r="E59" s="19">
        <v>0</v>
      </c>
      <c r="F59" s="16">
        <v>0</v>
      </c>
      <c r="G59" s="16">
        <v>0</v>
      </c>
      <c r="H59" s="16">
        <v>0</v>
      </c>
      <c r="I59" s="16">
        <v>0</v>
      </c>
      <c r="J59" s="28" t="s">
        <v>30</v>
      </c>
      <c r="K59" s="28" t="s">
        <v>30</v>
      </c>
    </row>
    <row r="60">
      <c r="A60" s="3" t="s">
        <v>103</v>
      </c>
      <c r="B60" s="14" t="s">
        <v>104</v>
      </c>
      <c r="C60" s="15">
        <v>54.87</v>
      </c>
      <c r="D60" s="3">
        <v>3</v>
      </c>
      <c r="E60" s="19">
        <v>164.60999999999999</v>
      </c>
      <c r="F60" s="16">
        <v>230</v>
      </c>
      <c r="G60" s="16">
        <v>690</v>
      </c>
      <c r="H60" s="16">
        <v>62.79</v>
      </c>
      <c r="I60" s="16">
        <v>690</v>
      </c>
      <c r="J60" s="20">
        <v>0.2624</v>
      </c>
      <c r="K60" s="20">
        <v>0.7376</v>
      </c>
    </row>
    <row r="61">
      <c r="A61" s="3" t="s">
        <v>105</v>
      </c>
      <c r="B61" s="14" t="s">
        <v>106</v>
      </c>
      <c r="C61" s="15">
        <v>3.28</v>
      </c>
      <c r="D61" s="3">
        <v>40</v>
      </c>
      <c r="E61" s="19">
        <v>131.2</v>
      </c>
      <c r="F61" s="16">
        <v>24</v>
      </c>
      <c r="G61" s="16">
        <v>952.8</v>
      </c>
      <c r="H61" s="16">
        <v>84.5208</v>
      </c>
      <c r="I61" s="16">
        <v>928.8</v>
      </c>
      <c r="J61" s="20">
        <v>0.1554</v>
      </c>
      <c r="K61" s="20">
        <v>0.8446</v>
      </c>
    </row>
    <row r="62">
      <c r="A62" s="3" t="s">
        <v>107</v>
      </c>
      <c r="B62" s="14" t="s">
        <v>29</v>
      </c>
      <c r="C62" s="15">
        <v>0</v>
      </c>
      <c r="D62" s="3">
        <v>15</v>
      </c>
      <c r="E62" s="19">
        <v>0</v>
      </c>
      <c r="F62" s="16">
        <v>0</v>
      </c>
      <c r="G62" s="16">
        <v>0</v>
      </c>
      <c r="H62" s="16">
        <v>0</v>
      </c>
      <c r="I62" s="16">
        <v>0</v>
      </c>
      <c r="J62" s="28" t="s">
        <v>30</v>
      </c>
      <c r="K62" s="28" t="s">
        <v>30</v>
      </c>
    </row>
    <row r="63">
      <c r="A63" s="3" t="s">
        <v>108</v>
      </c>
      <c r="B63" s="14" t="s">
        <v>29</v>
      </c>
      <c r="C63" s="15">
        <v>0</v>
      </c>
      <c r="D63" s="3">
        <v>57</v>
      </c>
      <c r="E63" s="19">
        <v>0</v>
      </c>
      <c r="F63" s="16">
        <v>0</v>
      </c>
      <c r="G63" s="16">
        <v>0</v>
      </c>
      <c r="H63" s="16">
        <v>0</v>
      </c>
      <c r="I63" s="16">
        <v>0</v>
      </c>
      <c r="J63" s="28" t="s">
        <v>30</v>
      </c>
      <c r="K63" s="28" t="s">
        <v>30</v>
      </c>
    </row>
    <row r="64">
      <c r="A64" s="3" t="s">
        <v>109</v>
      </c>
      <c r="B64" s="14" t="s">
        <v>29</v>
      </c>
      <c r="C64" s="15">
        <v>0</v>
      </c>
      <c r="D64" s="3">
        <v>11</v>
      </c>
      <c r="E64" s="19">
        <v>0</v>
      </c>
      <c r="F64" s="16">
        <v>0</v>
      </c>
      <c r="G64" s="16">
        <v>0</v>
      </c>
      <c r="H64" s="16">
        <v>0</v>
      </c>
      <c r="I64" s="16">
        <v>0</v>
      </c>
      <c r="J64" s="28" t="s">
        <v>30</v>
      </c>
      <c r="K64" s="28" t="s">
        <v>30</v>
      </c>
    </row>
    <row r="65">
      <c r="A65" s="3"/>
      <c r="B65" s="14"/>
      <c r="C65" s="15"/>
      <c r="D65" s="3"/>
      <c r="E65" s="19"/>
      <c r="F65" s="16"/>
      <c r="G65" s="16"/>
      <c r="H65" s="16"/>
      <c r="I65" s="16"/>
      <c r="J65" s="20"/>
      <c r="K65" s="20"/>
    </row>
    <row r="66" ht="15.75" s="3" customFormat="1">
      <c r="A66" s="22" t="s">
        <v>110</v>
      </c>
      <c r="B66" s="23"/>
      <c r="C66" s="27"/>
      <c r="D66" s="27"/>
      <c r="E66" s="24">
        <f>SUM(E7:E65)</f>
        <v>0</v>
      </c>
      <c r="F66" s="22"/>
      <c r="G66" s="22"/>
      <c r="H66" s="22"/>
      <c r="I66" s="24">
        <f>SUM(I7:I65)</f>
        <v>0</v>
      </c>
      <c r="J66" s="25" t="e">
        <f>E66/(I66/1.1)</f>
        <v>#DIV/0!</v>
      </c>
      <c r="K66" s="26" t="e">
        <f>1-J66</f>
        <v>#DIV/0!</v>
      </c>
    </row>
  </sheetData>
  <sortState ref="A7:K34">
    <sortCondition ref="C7:C34"/>
  </sortState>
  <mergeCells>
    <mergeCell ref="C66:D66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