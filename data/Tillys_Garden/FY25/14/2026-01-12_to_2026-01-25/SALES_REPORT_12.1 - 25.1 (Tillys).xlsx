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<sst xmlns="http://schemas.openxmlformats.org/spreadsheetml/2006/main" count="81" uniqueCount="81">
  <si>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SALES DETAIL BREAKDOWN</t>
  </si>
  <si>
    <t>Venue:</t>
  </si>
  <si>
    <t>Tilly's Garden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</si>
  <si>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</si>
  <si>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</si>
  <si>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</si>
  <si>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</si>
  <si>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</si>
  <si>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</si>
  <si>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</si>
  <si>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</si>
  <si>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</si>
  <si>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</si>
  <si>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</si>
  <si>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</si>
  <si>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</si>
  <si>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</si>
  <si>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</si>
  <si>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</si>
  <si>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</si>
  <si>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</si>
  <si>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</si>
  <si>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TATAKI</t>
  </si>
  <si>
    <t>Tri Tip Tataki (Tillys) - Dish</t>
  </si>
  <si>
    <t xml:space="preserve">CHICKEN BAO </t>
  </si>
  <si>
    <t>Fried Chicken Bao, 1 (Tillys) - Dish</t>
  </si>
  <si>
    <t>CHICKPEA FRITTERS</t>
  </si>
  <si>
    <t>Chickpea Fritters (Tillys) - Dish</t>
  </si>
  <si>
    <t>CORN &amp; COCONUT TART</t>
  </si>
  <si>
    <t xml:space="preserve">Coconut &amp; Corn Catalan (Tillys) - Dish </t>
  </si>
  <si>
    <t>CUCUMBER SALAD</t>
  </si>
  <si>
    <t>Cucumber Salad (Tillys) - Dish</t>
  </si>
  <si>
    <t>EXTRA FURIKAKE MAYO</t>
  </si>
  <si>
    <t>None</t>
  </si>
  <si>
    <t>⚠️</t>
  </si>
  <si>
    <t>EXTRA JAP CURRY SAUCE</t>
  </si>
  <si>
    <t>EXTRA KEWPIE</t>
  </si>
  <si>
    <t xml:space="preserve">Add Kewpie (Tillys) - Modifier </t>
  </si>
  <si>
    <t>EXTRA PEANUT SAUCE</t>
  </si>
  <si>
    <t>EXTRA TOMATO SAUCE</t>
  </si>
  <si>
    <t>Add Tomato Sauce (TMG) - Modifier</t>
  </si>
  <si>
    <t>FAILED ORDER CHECK QR</t>
  </si>
  <si>
    <t>FRIED PORK &amp; CHIVE DPLS (5) (NF, DF)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</si>
  <si>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</si>
  <si>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</si>
  <si>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</si>
  <si>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</si>
  <si>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</si>
  <si>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</si>
  <si>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</si>
  <si>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</si>
  <si>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</si>
  <si>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</si>
  <si>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</si>
  <si>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</si>
  <si>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</si>
  <si>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</si>
  <si>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</si>
  <si>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</si>
  <si>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 (3)</t>
  </si>
  <si>
    <t>OYSTER (6)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</si>
  <si>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</si>
  <si>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</si>
  <si>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</si>
  <si>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</si>
  <si>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</si>
  <si>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</si>
  <si>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GREEN CHILLI SAMBAL</t>
  </si>
  <si>
    <t>SIDE JASMINE RICE )(NF, VGN,V,GF,DF)</t>
  </si>
  <si>
    <t>Steamed Jasmine Rice (Tillys) - Dish</t>
  </si>
  <si>
    <t>SIDE TOMATO SAUCE</t>
  </si>
  <si>
    <t>SOFT SHELL CRAB</t>
  </si>
  <si>
    <t>Soft Shell Crab 25 (Tillys) - Dish</t>
  </si>
  <si>
    <t>STEAMED SCALLOP &amp; PRAWN DPLS (3) (NF, DF)</t>
  </si>
  <si>
    <t>STEAMED VEGETARIAN DPLS (3) (NFO,VGN,V,DF)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</si>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</sst>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4.95</v>
      </c>
      <c r="D7" s="3">
        <v>67</v>
      </c>
      <c r="E7" s="19">
        <v>331.65000000000003</v>
      </c>
      <c r="F7" s="16">
        <v>21</v>
      </c>
      <c r="G7" s="16">
        <v>1295.7</v>
      </c>
      <c r="H7" s="16">
        <v>117.9087</v>
      </c>
      <c r="I7" s="16">
        <v>1295.7</v>
      </c>
      <c r="J7" s="20">
        <v>0.2816</v>
      </c>
      <c r="K7" s="20">
        <v>0.7184</v>
      </c>
    </row>
    <row r="8" s="3" customFormat="1">
      <c r="A8" s="3" t="s">
        <v>20</v>
      </c>
      <c r="B8" s="14" t="s">
        <v>21</v>
      </c>
      <c r="C8" s="15">
        <v>3.23</v>
      </c>
      <c r="D8" s="3">
        <v>113</v>
      </c>
      <c r="E8" s="19">
        <v>364.99</v>
      </c>
      <c r="F8" s="16">
        <v>18</v>
      </c>
      <c r="G8" s="16">
        <v>1936.8</v>
      </c>
      <c r="H8" s="16">
        <v>170.1648</v>
      </c>
      <c r="I8" s="16">
        <v>1869.9428</v>
      </c>
      <c r="J8" s="20">
        <v>0.2147</v>
      </c>
      <c r="K8" s="20">
        <v>0.7853</v>
      </c>
    </row>
    <row r="9" s="3" customFormat="1">
      <c r="A9" s="3" t="s">
        <v>22</v>
      </c>
      <c r="B9" s="14" t="s">
        <v>23</v>
      </c>
      <c r="C9" s="15">
        <v>4.4</v>
      </c>
      <c r="D9" s="3">
        <v>41</v>
      </c>
      <c r="E9" s="19">
        <v>180.4</v>
      </c>
      <c r="F9" s="16">
        <v>24</v>
      </c>
      <c r="G9" s="16">
        <v>960</v>
      </c>
      <c r="H9" s="16">
        <v>87.36</v>
      </c>
      <c r="I9" s="16">
        <v>960</v>
      </c>
      <c r="J9" s="20">
        <v>0.2067</v>
      </c>
      <c r="K9" s="20">
        <v>0.7933</v>
      </c>
    </row>
    <row r="10" s="3" customFormat="1">
      <c r="A10" s="3" t="s">
        <v>24</v>
      </c>
      <c r="B10" s="14" t="s">
        <v>25</v>
      </c>
      <c r="C10" s="15">
        <v>1.88</v>
      </c>
      <c r="D10" s="3">
        <v>190</v>
      </c>
      <c r="E10" s="19">
        <v>357.2</v>
      </c>
      <c r="F10" s="16">
        <v>10</v>
      </c>
      <c r="G10" s="16">
        <v>1881</v>
      </c>
      <c r="H10" s="16">
        <v>165.6668</v>
      </c>
      <c r="I10" s="16">
        <v>1820.5142</v>
      </c>
      <c r="J10" s="20">
        <v>0.2159</v>
      </c>
      <c r="K10" s="20">
        <v>0.7841</v>
      </c>
    </row>
    <row r="11" s="3" customFormat="1">
      <c r="A11" s="3" t="s">
        <v>26</v>
      </c>
      <c r="B11" s="14" t="s">
        <v>27</v>
      </c>
      <c r="C11" s="15">
        <v>2.58</v>
      </c>
      <c r="D11" s="3">
        <v>25</v>
      </c>
      <c r="E11" s="19">
        <v>64.5</v>
      </c>
      <c r="F11" s="16">
        <v>16</v>
      </c>
      <c r="G11" s="16">
        <v>400</v>
      </c>
      <c r="H11" s="16">
        <v>36.4</v>
      </c>
      <c r="I11" s="16">
        <v>400</v>
      </c>
      <c r="J11" s="20">
        <v>0.1774</v>
      </c>
      <c r="K11" s="20">
        <v>0.8226</v>
      </c>
    </row>
    <row r="12" s="3" customFormat="1">
      <c r="A12" s="3" t="s">
        <v>28</v>
      </c>
      <c r="B12" s="14" t="s">
        <v>29</v>
      </c>
      <c r="C12" s="15">
        <v>2.27</v>
      </c>
      <c r="D12" s="3">
        <v>6</v>
      </c>
      <c r="E12" s="19">
        <v>13.620000000000001</v>
      </c>
      <c r="F12" s="16">
        <v>15</v>
      </c>
      <c r="G12" s="16">
        <v>90</v>
      </c>
      <c r="H12" s="16">
        <v>8.19</v>
      </c>
      <c r="I12" s="16">
        <v>90</v>
      </c>
      <c r="J12" s="20">
        <v>0.1665</v>
      </c>
      <c r="K12" s="20">
        <v>0.8335</v>
      </c>
    </row>
    <row r="13" s="3" customFormat="1">
      <c r="A13" s="3" t="s">
        <v>30</v>
      </c>
      <c r="B13" s="14" t="s">
        <v>31</v>
      </c>
      <c r="C13" s="15">
        <v>3.13</v>
      </c>
      <c r="D13" s="3">
        <v>60</v>
      </c>
      <c r="E13" s="19">
        <v>187.79999999999998</v>
      </c>
      <c r="F13" s="16">
        <v>15</v>
      </c>
      <c r="G13" s="16">
        <v>871.5</v>
      </c>
      <c r="H13" s="16">
        <v>77.9415</v>
      </c>
      <c r="I13" s="16">
        <v>856.5</v>
      </c>
      <c r="J13" s="20">
        <v>0.2412</v>
      </c>
      <c r="K13" s="20">
        <v>0.7588</v>
      </c>
    </row>
    <row r="14" s="3" customFormat="1">
      <c r="A14" s="3" t="s">
        <v>32</v>
      </c>
      <c r="B14" s="14" t="s">
        <v>33</v>
      </c>
      <c r="C14" s="15">
        <v>0</v>
      </c>
      <c r="D14" s="3">
        <v>2</v>
      </c>
      <c r="E14" s="19">
        <v>0</v>
      </c>
      <c r="F14" s="16">
        <v>2</v>
      </c>
      <c r="G14" s="16">
        <v>4</v>
      </c>
      <c r="H14" s="16">
        <v>0.364</v>
      </c>
      <c r="I14" s="16">
        <v>4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1</v>
      </c>
      <c r="E15" s="19">
        <v>0</v>
      </c>
      <c r="F15" s="16">
        <v>2</v>
      </c>
      <c r="G15" s="16">
        <v>2</v>
      </c>
      <c r="H15" s="16">
        <v>0.182</v>
      </c>
      <c r="I15" s="16">
        <v>2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37</v>
      </c>
      <c r="C16" s="15">
        <v>0</v>
      </c>
      <c r="D16" s="3">
        <v>5</v>
      </c>
      <c r="E16" s="19">
        <v>0</v>
      </c>
      <c r="F16" s="16">
        <v>2</v>
      </c>
      <c r="G16" s="16">
        <v>10</v>
      </c>
      <c r="H16" s="16">
        <v>0.91</v>
      </c>
      <c r="I16" s="16">
        <v>10</v>
      </c>
      <c r="J16" s="28" t="s">
        <v>34</v>
      </c>
      <c r="K16" s="28" t="s">
        <v>34</v>
      </c>
    </row>
    <row r="17" s="3" customFormat="1">
      <c r="A17" s="3" t="s">
        <v>38</v>
      </c>
      <c r="B17" s="14" t="s">
        <v>33</v>
      </c>
      <c r="C17" s="15">
        <v>0</v>
      </c>
      <c r="D17" s="3">
        <v>2</v>
      </c>
      <c r="E17" s="19">
        <v>0</v>
      </c>
      <c r="F17" s="16">
        <v>2</v>
      </c>
      <c r="G17" s="16">
        <v>2</v>
      </c>
      <c r="H17" s="16">
        <v>0.182</v>
      </c>
      <c r="I17" s="16">
        <v>2</v>
      </c>
      <c r="J17" s="28" t="s">
        <v>34</v>
      </c>
      <c r="K17" s="28" t="s">
        <v>34</v>
      </c>
    </row>
    <row r="18" s="3" customFormat="1">
      <c r="A18" s="3" t="s">
        <v>39</v>
      </c>
      <c r="B18" s="14" t="s">
        <v>40</v>
      </c>
      <c r="C18" s="15">
        <v>0.15</v>
      </c>
      <c r="D18" s="3">
        <v>8</v>
      </c>
      <c r="E18" s="19">
        <v>1.2</v>
      </c>
      <c r="F18" s="16">
        <v>0.5</v>
      </c>
      <c r="G18" s="16">
        <v>4</v>
      </c>
      <c r="H18" s="16">
        <v>0.364</v>
      </c>
      <c r="I18" s="16">
        <v>4</v>
      </c>
      <c r="J18" s="20">
        <v>0.33</v>
      </c>
      <c r="K18" s="20">
        <v>0.67</v>
      </c>
    </row>
    <row r="19" s="3" customFormat="1">
      <c r="A19" s="3" t="s">
        <v>41</v>
      </c>
      <c r="B19" s="14" t="s">
        <v>33</v>
      </c>
      <c r="C19" s="15">
        <v>0</v>
      </c>
      <c r="D19" s="3">
        <v>1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34</v>
      </c>
      <c r="K19" s="28" t="s">
        <v>34</v>
      </c>
    </row>
    <row r="20" s="3" customFormat="1">
      <c r="A20" s="3" t="s">
        <v>42</v>
      </c>
      <c r="B20" s="14" t="s">
        <v>33</v>
      </c>
      <c r="C20" s="15">
        <v>0</v>
      </c>
      <c r="D20" s="3">
        <v>149</v>
      </c>
      <c r="E20" s="19">
        <v>0</v>
      </c>
      <c r="F20" s="16">
        <v>17</v>
      </c>
      <c r="G20" s="16">
        <v>2473.5</v>
      </c>
      <c r="H20" s="16">
        <v>225.0885</v>
      </c>
      <c r="I20" s="16">
        <v>2473.5</v>
      </c>
      <c r="J20" s="28" t="s">
        <v>34</v>
      </c>
      <c r="K20" s="28" t="s">
        <v>34</v>
      </c>
    </row>
    <row r="21" s="3" customFormat="1">
      <c r="A21" s="3" t="s">
        <v>43</v>
      </c>
      <c r="B21" s="14" t="s">
        <v>44</v>
      </c>
      <c r="C21" s="15">
        <v>5.47</v>
      </c>
      <c r="D21" s="3">
        <v>118</v>
      </c>
      <c r="E21" s="19">
        <v>645.45999999999992</v>
      </c>
      <c r="F21" s="16">
        <v>23</v>
      </c>
      <c r="G21" s="16">
        <v>2576</v>
      </c>
      <c r="H21" s="16">
        <v>226.044</v>
      </c>
      <c r="I21" s="16">
        <v>2484</v>
      </c>
      <c r="J21" s="20">
        <v>0.2859</v>
      </c>
      <c r="K21" s="20">
        <v>0.7141</v>
      </c>
    </row>
    <row r="22" s="3" customFormat="1">
      <c r="A22" s="3" t="s">
        <v>45</v>
      </c>
      <c r="B22" s="14" t="s">
        <v>46</v>
      </c>
      <c r="C22" s="15">
        <v>3.2</v>
      </c>
      <c r="D22" s="3">
        <v>5</v>
      </c>
      <c r="E22" s="19">
        <v>16</v>
      </c>
      <c r="F22" s="16">
        <v>15</v>
      </c>
      <c r="G22" s="16">
        <v>55.5</v>
      </c>
      <c r="H22" s="16">
        <v>5.0505</v>
      </c>
      <c r="I22" s="16">
        <v>55.5</v>
      </c>
      <c r="J22" s="20">
        <v>0.3171</v>
      </c>
      <c r="K22" s="20">
        <v>0.6829</v>
      </c>
    </row>
    <row r="23" s="3" customFormat="1">
      <c r="A23" s="3" t="s">
        <v>47</v>
      </c>
      <c r="B23" s="14" t="s">
        <v>48</v>
      </c>
      <c r="C23" s="15">
        <v>2.93</v>
      </c>
      <c r="D23" s="3">
        <v>11</v>
      </c>
      <c r="E23" s="19">
        <v>32.230000000000004</v>
      </c>
      <c r="F23" s="16">
        <v>15</v>
      </c>
      <c r="G23" s="16">
        <v>85.5</v>
      </c>
      <c r="H23" s="16">
        <v>7.7805</v>
      </c>
      <c r="I23" s="16">
        <v>85.5</v>
      </c>
      <c r="J23" s="20">
        <v>0.4147</v>
      </c>
      <c r="K23" s="20">
        <v>0.5853</v>
      </c>
    </row>
    <row r="24" s="3" customFormat="1">
      <c r="A24" s="3" t="s">
        <v>49</v>
      </c>
      <c r="B24" s="14" t="s">
        <v>50</v>
      </c>
      <c r="C24" s="15">
        <v>2.4</v>
      </c>
      <c r="D24" s="3">
        <v>78</v>
      </c>
      <c r="E24" s="19">
        <v>187.2</v>
      </c>
      <c r="F24" s="16">
        <v>16</v>
      </c>
      <c r="G24" s="16">
        <v>1216</v>
      </c>
      <c r="H24" s="16">
        <v>108.4533</v>
      </c>
      <c r="I24" s="16">
        <v>1191.7948</v>
      </c>
      <c r="J24" s="20">
        <v>0.1728</v>
      </c>
      <c r="K24" s="20">
        <v>0.8272</v>
      </c>
    </row>
    <row r="25" s="3" customFormat="1">
      <c r="A25" s="3" t="s">
        <v>51</v>
      </c>
      <c r="B25" s="14" t="s">
        <v>52</v>
      </c>
      <c r="C25" s="15">
        <v>25.32</v>
      </c>
      <c r="D25" s="3">
        <v>4</v>
      </c>
      <c r="E25" s="19">
        <v>101.28</v>
      </c>
      <c r="F25" s="16">
        <v>0</v>
      </c>
      <c r="G25" s="16">
        <v>0</v>
      </c>
      <c r="H25" s="16">
        <v>0</v>
      </c>
      <c r="I25" s="16">
        <v>0</v>
      </c>
      <c r="J25" s="28" t="s">
        <v>34</v>
      </c>
      <c r="K25" s="28" t="s">
        <v>34</v>
      </c>
    </row>
    <row r="26" s="3" customFormat="1">
      <c r="A26" s="3" t="s">
        <v>53</v>
      </c>
      <c r="B26" s="14" t="s">
        <v>54</v>
      </c>
      <c r="C26" s="15">
        <v>1.79</v>
      </c>
      <c r="D26" s="3">
        <v>98</v>
      </c>
      <c r="E26" s="19">
        <v>175.42000000000002</v>
      </c>
      <c r="F26" s="16">
        <v>16</v>
      </c>
      <c r="G26" s="16">
        <v>1552</v>
      </c>
      <c r="H26" s="16">
        <v>141.232</v>
      </c>
      <c r="I26" s="16">
        <v>1552</v>
      </c>
      <c r="J26" s="20">
        <v>0.1243</v>
      </c>
      <c r="K26" s="20">
        <v>0.8757</v>
      </c>
    </row>
    <row r="27" s="3" customFormat="1">
      <c r="A27" s="3" t="s">
        <v>55</v>
      </c>
      <c r="B27" s="14" t="s">
        <v>56</v>
      </c>
      <c r="C27" s="15">
        <v>2.19</v>
      </c>
      <c r="D27" s="3">
        <v>29</v>
      </c>
      <c r="E27" s="19">
        <v>63.51</v>
      </c>
      <c r="F27" s="16">
        <v>10</v>
      </c>
      <c r="G27" s="16">
        <v>290</v>
      </c>
      <c r="H27" s="16">
        <v>25.74</v>
      </c>
      <c r="I27" s="16">
        <v>282.8571</v>
      </c>
      <c r="J27" s="20">
        <v>0.247</v>
      </c>
      <c r="K27" s="20">
        <v>0.753</v>
      </c>
    </row>
    <row r="28" s="3" customFormat="1">
      <c r="A28" s="3" t="s">
        <v>57</v>
      </c>
      <c r="B28" s="14" t="s">
        <v>33</v>
      </c>
      <c r="C28" s="15">
        <v>0</v>
      </c>
      <c r="D28" s="3">
        <v>19</v>
      </c>
      <c r="E28" s="19">
        <v>0</v>
      </c>
      <c r="F28" s="16">
        <v>0</v>
      </c>
      <c r="G28" s="16">
        <v>0</v>
      </c>
      <c r="H28" s="16">
        <v>0</v>
      </c>
      <c r="I28" s="16">
        <v>0</v>
      </c>
      <c r="J28" s="28" t="s">
        <v>34</v>
      </c>
      <c r="K28" s="28" t="s">
        <v>34</v>
      </c>
    </row>
    <row r="29" s="3" customFormat="1">
      <c r="A29" s="3" t="s">
        <v>58</v>
      </c>
      <c r="B29" s="14" t="s">
        <v>33</v>
      </c>
      <c r="C29" s="15">
        <v>0</v>
      </c>
      <c r="D29" s="3">
        <v>1</v>
      </c>
      <c r="E29" s="19">
        <v>0</v>
      </c>
      <c r="F29" s="16">
        <v>70</v>
      </c>
      <c r="G29" s="16">
        <v>70</v>
      </c>
      <c r="H29" s="16">
        <v>6.37</v>
      </c>
      <c r="I29" s="16">
        <v>70</v>
      </c>
      <c r="J29" s="28" t="s">
        <v>34</v>
      </c>
      <c r="K29" s="28" t="s">
        <v>34</v>
      </c>
    </row>
    <row r="30" s="3" customFormat="1">
      <c r="A30" s="3" t="s">
        <v>59</v>
      </c>
      <c r="B30" s="14" t="s">
        <v>33</v>
      </c>
      <c r="C30" s="15">
        <v>0</v>
      </c>
      <c r="D30" s="3">
        <v>16</v>
      </c>
      <c r="E30" s="19">
        <v>0</v>
      </c>
      <c r="F30" s="16">
        <v>18</v>
      </c>
      <c r="G30" s="16">
        <v>288</v>
      </c>
      <c r="H30" s="16">
        <v>26.208</v>
      </c>
      <c r="I30" s="16">
        <v>288</v>
      </c>
      <c r="J30" s="28" t="s">
        <v>34</v>
      </c>
      <c r="K30" s="28" t="s">
        <v>34</v>
      </c>
    </row>
    <row r="31" s="3" customFormat="1">
      <c r="A31" s="3" t="s">
        <v>60</v>
      </c>
      <c r="B31" s="14" t="s">
        <v>33</v>
      </c>
      <c r="C31" s="15">
        <v>0</v>
      </c>
      <c r="D31" s="3">
        <v>11</v>
      </c>
      <c r="E31" s="19">
        <v>0</v>
      </c>
      <c r="F31" s="16">
        <v>35</v>
      </c>
      <c r="G31" s="16">
        <v>385</v>
      </c>
      <c r="H31" s="16">
        <v>35.035</v>
      </c>
      <c r="I31" s="16">
        <v>385</v>
      </c>
      <c r="J31" s="28" t="s">
        <v>34</v>
      </c>
      <c r="K31" s="28" t="s">
        <v>34</v>
      </c>
    </row>
    <row r="32" s="3" customFormat="1">
      <c r="A32" s="3" t="s">
        <v>61</v>
      </c>
      <c r="B32" s="14" t="s">
        <v>62</v>
      </c>
      <c r="C32" s="15">
        <v>2.09</v>
      </c>
      <c r="D32" s="3">
        <v>155</v>
      </c>
      <c r="E32" s="19">
        <v>323.95</v>
      </c>
      <c r="F32" s="16">
        <v>10</v>
      </c>
      <c r="G32" s="16">
        <v>1544</v>
      </c>
      <c r="H32" s="16">
        <v>138.684</v>
      </c>
      <c r="I32" s="16">
        <v>1524</v>
      </c>
      <c r="J32" s="20">
        <v>0.2338</v>
      </c>
      <c r="K32" s="20">
        <v>0.7662</v>
      </c>
    </row>
    <row r="33" s="3" customFormat="1">
      <c r="A33" s="3" t="s">
        <v>63</v>
      </c>
      <c r="B33" s="14" t="s">
        <v>64</v>
      </c>
      <c r="C33" s="15">
        <v>5.3</v>
      </c>
      <c r="D33" s="3">
        <v>172</v>
      </c>
      <c r="E33" s="19">
        <v>911.6</v>
      </c>
      <c r="F33" s="16">
        <v>23</v>
      </c>
      <c r="G33" s="16">
        <v>3788.1</v>
      </c>
      <c r="H33" s="16">
        <v>336.9764</v>
      </c>
      <c r="I33" s="16">
        <v>3703.0393</v>
      </c>
      <c r="J33" s="20">
        <v>0.2708</v>
      </c>
      <c r="K33" s="20">
        <v>0.7292</v>
      </c>
    </row>
    <row r="34" s="3" customFormat="1">
      <c r="A34" s="3" t="s">
        <v>65</v>
      </c>
      <c r="B34" s="14" t="s">
        <v>66</v>
      </c>
      <c r="C34" s="15">
        <v>3.55</v>
      </c>
      <c r="D34" s="3">
        <v>214</v>
      </c>
      <c r="E34" s="19">
        <v>759.69999999999993</v>
      </c>
      <c r="F34" s="16">
        <v>14</v>
      </c>
      <c r="G34" s="16">
        <v>2968</v>
      </c>
      <c r="H34" s="16">
        <v>267.0682</v>
      </c>
      <c r="I34" s="16">
        <v>2934.8163</v>
      </c>
      <c r="J34" s="20">
        <v>0.2848</v>
      </c>
      <c r="K34" s="20">
        <v>0.7152</v>
      </c>
    </row>
    <row r="35">
      <c r="A35" s="3" t="s">
        <v>67</v>
      </c>
      <c r="B35" s="14" t="s">
        <v>33</v>
      </c>
      <c r="C35" s="15">
        <v>0</v>
      </c>
      <c r="D35" s="3">
        <v>1</v>
      </c>
      <c r="E35" s="19">
        <v>0</v>
      </c>
      <c r="F35" s="16">
        <v>2</v>
      </c>
      <c r="G35" s="16">
        <v>0</v>
      </c>
      <c r="H35" s="16">
        <v>0</v>
      </c>
      <c r="I35" s="16">
        <v>0</v>
      </c>
      <c r="J35" s="28" t="s">
        <v>34</v>
      </c>
      <c r="K35" s="28" t="s">
        <v>34</v>
      </c>
    </row>
    <row r="36">
      <c r="A36" s="3" t="s">
        <v>68</v>
      </c>
      <c r="B36" s="14" t="s">
        <v>69</v>
      </c>
      <c r="C36" s="15">
        <v>0.79</v>
      </c>
      <c r="D36" s="3">
        <v>34</v>
      </c>
      <c r="E36" s="19">
        <v>26.86</v>
      </c>
      <c r="F36" s="16">
        <v>5</v>
      </c>
      <c r="G36" s="16">
        <v>97.5</v>
      </c>
      <c r="H36" s="16">
        <v>8.8725</v>
      </c>
      <c r="I36" s="16">
        <v>97.5</v>
      </c>
      <c r="J36" s="20">
        <v>0.3031</v>
      </c>
      <c r="K36" s="20">
        <v>0.6969</v>
      </c>
    </row>
    <row r="37">
      <c r="A37" s="3" t="s">
        <v>70</v>
      </c>
      <c r="B37" s="14" t="s">
        <v>33</v>
      </c>
      <c r="C37" s="15">
        <v>0</v>
      </c>
      <c r="D37" s="3">
        <v>1</v>
      </c>
      <c r="E37" s="19">
        <v>0</v>
      </c>
      <c r="F37" s="16">
        <v>0.5</v>
      </c>
      <c r="G37" s="16">
        <v>0.5</v>
      </c>
      <c r="H37" s="16">
        <v>0.0455</v>
      </c>
      <c r="I37" s="16">
        <v>0.5</v>
      </c>
      <c r="J37" s="28" t="s">
        <v>34</v>
      </c>
      <c r="K37" s="28" t="s">
        <v>34</v>
      </c>
    </row>
    <row r="38">
      <c r="A38" s="3" t="s">
        <v>71</v>
      </c>
      <c r="B38" s="14" t="s">
        <v>72</v>
      </c>
      <c r="C38" s="15">
        <v>5.04</v>
      </c>
      <c r="D38" s="3">
        <v>74</v>
      </c>
      <c r="E38" s="19">
        <v>372.96</v>
      </c>
      <c r="F38" s="16">
        <v>24</v>
      </c>
      <c r="G38" s="16">
        <v>1713.6</v>
      </c>
      <c r="H38" s="16">
        <v>155.1289</v>
      </c>
      <c r="I38" s="16">
        <v>1704.7136</v>
      </c>
      <c r="J38" s="20">
        <v>0.2407</v>
      </c>
      <c r="K38" s="20">
        <v>0.7593</v>
      </c>
    </row>
    <row r="39">
      <c r="A39" s="3" t="s">
        <v>73</v>
      </c>
      <c r="B39" s="14" t="s">
        <v>33</v>
      </c>
      <c r="C39" s="15">
        <v>0</v>
      </c>
      <c r="D39" s="3">
        <v>114</v>
      </c>
      <c r="E39" s="19">
        <v>0</v>
      </c>
      <c r="F39" s="16">
        <v>17</v>
      </c>
      <c r="G39" s="16">
        <v>1904</v>
      </c>
      <c r="H39" s="16">
        <v>173.264</v>
      </c>
      <c r="I39" s="16">
        <v>1904</v>
      </c>
      <c r="J39" s="28" t="s">
        <v>34</v>
      </c>
      <c r="K39" s="28" t="s">
        <v>34</v>
      </c>
    </row>
    <row r="40">
      <c r="A40" s="3" t="s">
        <v>74</v>
      </c>
      <c r="B40" s="14" t="s">
        <v>33</v>
      </c>
      <c r="C40" s="15">
        <v>0</v>
      </c>
      <c r="D40" s="3">
        <v>51</v>
      </c>
      <c r="E40" s="19">
        <v>0</v>
      </c>
      <c r="F40" s="16">
        <v>14</v>
      </c>
      <c r="G40" s="16">
        <v>714</v>
      </c>
      <c r="H40" s="16">
        <v>64.974</v>
      </c>
      <c r="I40" s="16">
        <v>714</v>
      </c>
      <c r="J40" s="28" t="s">
        <v>34</v>
      </c>
      <c r="K40" s="28" t="s">
        <v>34</v>
      </c>
    </row>
    <row r="41">
      <c r="A41" s="3" t="s">
        <v>75</v>
      </c>
      <c r="B41" s="14" t="s">
        <v>76</v>
      </c>
      <c r="C41" s="15">
        <v>3.55</v>
      </c>
      <c r="D41" s="3">
        <v>21</v>
      </c>
      <c r="E41" s="19">
        <v>74.55</v>
      </c>
      <c r="F41" s="16">
        <v>24</v>
      </c>
      <c r="G41" s="16">
        <v>496.8</v>
      </c>
      <c r="H41" s="16">
        <v>43.0248</v>
      </c>
      <c r="I41" s="16">
        <v>472.8</v>
      </c>
      <c r="J41" s="20">
        <v>0.1735</v>
      </c>
      <c r="K41" s="20">
        <v>0.8265</v>
      </c>
    </row>
    <row r="42">
      <c r="A42" s="3" t="s">
        <v>77</v>
      </c>
      <c r="B42" s="14" t="s">
        <v>33</v>
      </c>
      <c r="C42" s="15">
        <v>0</v>
      </c>
      <c r="D42" s="3">
        <v>5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34</v>
      </c>
      <c r="K42" s="28" t="s">
        <v>34</v>
      </c>
    </row>
    <row r="43">
      <c r="A43" s="3" t="s">
        <v>78</v>
      </c>
      <c r="B43" s="14" t="s">
        <v>33</v>
      </c>
      <c r="C43" s="15">
        <v>0</v>
      </c>
      <c r="D43" s="3">
        <v>9</v>
      </c>
      <c r="E43" s="19">
        <v>0</v>
      </c>
      <c r="F43" s="16">
        <v>0</v>
      </c>
      <c r="G43" s="16">
        <v>0</v>
      </c>
      <c r="H43" s="16">
        <v>0</v>
      </c>
      <c r="I43" s="16">
        <v>0</v>
      </c>
      <c r="J43" s="28" t="s">
        <v>34</v>
      </c>
      <c r="K43" s="28" t="s">
        <v>34</v>
      </c>
    </row>
    <row r="44">
      <c r="A44" s="3" t="s">
        <v>79</v>
      </c>
      <c r="B44" s="14" t="s">
        <v>33</v>
      </c>
      <c r="C44" s="15">
        <v>0</v>
      </c>
      <c r="D44" s="3">
        <v>7</v>
      </c>
      <c r="E44" s="19">
        <v>0</v>
      </c>
      <c r="F44" s="16">
        <v>0</v>
      </c>
      <c r="G44" s="16">
        <v>0</v>
      </c>
      <c r="H44" s="16">
        <v>0</v>
      </c>
      <c r="I44" s="16">
        <v>0</v>
      </c>
      <c r="J44" s="28" t="s">
        <v>34</v>
      </c>
      <c r="K44" s="28" t="s">
        <v>34</v>
      </c>
    </row>
    <row r="45">
      <c r="A45" s="3"/>
      <c r="B45" s="14"/>
      <c r="C45" s="15"/>
      <c r="D45" s="3"/>
      <c r="E45" s="19"/>
      <c r="F45" s="16"/>
      <c r="G45" s="16"/>
      <c r="H45" s="16"/>
      <c r="I45" s="16"/>
      <c r="J45" s="20"/>
      <c r="K45" s="20"/>
    </row>
    <row r="46" ht="15.75" s="3" customFormat="1">
      <c r="A46" s="22" t="s">
        <v>80</v>
      </c>
      <c r="B46" s="23"/>
      <c r="C46" s="27"/>
      <c r="D46" s="27"/>
      <c r="E46" s="24">
        <f>SUM(E7:E45)</f>
        <v>0</v>
      </c>
      <c r="F46" s="22"/>
      <c r="G46" s="22"/>
      <c r="H46" s="22"/>
      <c r="I46" s="24">
        <f>SUM(I7:I45)</f>
        <v>0</v>
      </c>
      <c r="J46" s="25" t="e">
        <f>E46/(I46/1.1)</f>
        <v>#DIV/0!</v>
      </c>
      <c r="K46" s="26" t="e">
        <f>1-J46</f>
        <v>#DIV/0!</v>
      </c>
    </row>
  </sheetData>
  <sortState ref="A7:K34">
    <sortCondition ref="C7:C34"/>
  </sortState>
  <mergeCells>
    <mergeCell ref="C46:D4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