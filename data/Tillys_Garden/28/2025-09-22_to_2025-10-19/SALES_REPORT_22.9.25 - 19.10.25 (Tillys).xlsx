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<sst xmlns="http://schemas.openxmlformats.org/spreadsheetml/2006/main" count="120" uniqueCount="120">
  <si>
    <t>SALES DETAIL BREAKDOWN</t>
  </si>
  <si>
    <t>Venue:</t>
  </si>
  <si>
    <t>Tilly's Garden</t>
  </si>
  <si>
    <t>From Date:</t>
  </si>
  <si>
    <t>22/09/2025</t>
  </si>
  <si>
    <t>To Date:</t>
  </si>
  <si>
    <t>19/10/2025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</si>
  <si>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</si>
  <si>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</si>
  <si>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</si>
  <si>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</si>
  <si>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</si>
  <si>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</si>
  <si>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</si>
  <si>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</si>
  <si>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</si>
  <si>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</si>
  <si>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</si>
  <si>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 xml:space="preserve"> KEY LIME TART (V, NF)</t>
  </si>
  <si>
    <t>Bruleed Key Lime Tart (Tillys) - Dish</t>
  </si>
  <si>
    <t>⚠️</t>
  </si>
  <si>
    <t>ARRIVAL COURSE AWAY</t>
  </si>
  <si>
    <t>None</t>
  </si>
  <si>
    <t>BABY SQUID</t>
  </si>
  <si>
    <t>Hot Pineapple Squid (Tillys) - Dish</t>
  </si>
  <si>
    <t>BEEF SKEWERS</t>
  </si>
  <si>
    <t>Chinese Beef Skewers, 2 (Tillys) - Dish</t>
  </si>
  <si>
    <t>BEEF TATAKI</t>
  </si>
  <si>
    <t>Tri Tip Tataki (Tillys) - Dish</t>
  </si>
  <si>
    <t>BROCC &amp; MANCHEGO SALAD (GF, NFO, DFO, V, VGO)</t>
  </si>
  <si>
    <t>Broccoli and Manchego Salad (Tillys) - Dish</t>
  </si>
  <si>
    <t>CHAR GRILLED BEEF STEAK (GFO, NF, DFO)</t>
  </si>
  <si>
    <t>Charred Marinated Beef (Tillys) - Dish</t>
  </si>
  <si>
    <t>CHAR SUI DUCK BAO (2) (NF)</t>
  </si>
  <si>
    <t>Char Sui Duck Bao (Tillys) - Dish</t>
  </si>
  <si>
    <t>CHARCUTERIE &amp; CHEESE BOARD</t>
  </si>
  <si>
    <t>Charcuterie &amp; Cheese Board (Tillys) - Platter</t>
  </si>
  <si>
    <t xml:space="preserve">CHICKEN BAO </t>
  </si>
  <si>
    <t>Fried Chicken Bao, 1 (Tillys) - Dish</t>
  </si>
  <si>
    <t>CHICKEN BAO (2)</t>
  </si>
  <si>
    <t>CHICKPEA FRITTERS</t>
  </si>
  <si>
    <t>Chickpea Fritters (Tillys) - Dish</t>
  </si>
  <si>
    <t>CORN &amp; COCONUT TART</t>
  </si>
  <si>
    <t xml:space="preserve">Coconut &amp; Corn Catalan (Tillys) - Dish </t>
  </si>
  <si>
    <t>COURSE 1 AWAY</t>
  </si>
  <si>
    <t>CUCUMBER SALAD</t>
  </si>
  <si>
    <t>Cucumber Salad (Tillys) - Dish</t>
  </si>
  <si>
    <t>DUMPLING PLATTER FUNCTION</t>
  </si>
  <si>
    <t>Dumpling Lover (Tillys) - Platter</t>
  </si>
  <si>
    <t>EXTRA AIOLI</t>
  </si>
  <si>
    <t>EXTRA CHICKEN BAO</t>
  </si>
  <si>
    <t>EXTRA CHILLI JAM AIOLI</t>
  </si>
  <si>
    <t xml:space="preserve">Add Chilli Jam Aioli (Tillys) - Modifier </t>
  </si>
  <si>
    <t>EXTRA DUCK BAO</t>
  </si>
  <si>
    <t>EXTRA GREEN CHILLI SAMBAL</t>
  </si>
  <si>
    <t xml:space="preserve">Extra Green Chilli Sambal (Tillys) - Modifier </t>
  </si>
  <si>
    <t>EXTRA KEWPIE</t>
  </si>
  <si>
    <t xml:space="preserve">Add Kewpie (Tillys) - Modifier </t>
  </si>
  <si>
    <t>EXTRA MUSHROOM BAO</t>
  </si>
  <si>
    <t>FOOD AWAY</t>
  </si>
  <si>
    <t>FRIED PORK &amp; CHIVE DPLS (6) (NF, DF)</t>
  </si>
  <si>
    <t>Pork and Chive Dumplings (Tillys) - Dish</t>
  </si>
  <si>
    <t>FRUIT PLATTER FUNCTION</t>
  </si>
  <si>
    <t>Fruit Platter (Tillys) - Recipe</t>
  </si>
  <si>
    <t>GRILLED SQUID</t>
  </si>
  <si>
    <t>Poached Squid (Tillys) - Dish</t>
  </si>
  <si>
    <t>HOUSE KIMCHI (NF, DF)</t>
  </si>
  <si>
    <t>House Kimchi (Tillys) - Dish</t>
  </si>
  <si>
    <t xml:space="preserve">KARAAGE CHICKEN </t>
  </si>
  <si>
    <t>Karaage Chicken (Tillys) - Dish</t>
  </si>
  <si>
    <t>KIDS FISH GOUJON</t>
  </si>
  <si>
    <t>Fish Goujon, Kids (Tillys) - Dish</t>
  </si>
  <si>
    <t xml:space="preserve">KIDS KARAAGE </t>
  </si>
  <si>
    <t>Chicken Karaage, Kids (Tillys) - Dish</t>
  </si>
  <si>
    <t xml:space="preserve">LOADED POTATOES </t>
  </si>
  <si>
    <t>Loaded Katsu Curry Potatoes (Tillys) - Dish</t>
  </si>
  <si>
    <t>LYCHEE GRANITA</t>
  </si>
  <si>
    <t>Oysters - Cooked (12)(Tillys) - Dish</t>
  </si>
  <si>
    <t>MAC &amp; CHEESE RICE CAKES</t>
  </si>
  <si>
    <t>Korean Mac &amp; Cheese Rice Cakes (Tillys) - Dish</t>
  </si>
  <si>
    <t xml:space="preserve">MUSHROOM BAO </t>
  </si>
  <si>
    <t>Oyster Mushroom Bao, 1 (Tillys) - Dish</t>
  </si>
  <si>
    <t xml:space="preserve">NATURAL </t>
  </si>
  <si>
    <t>OPEN FOOD</t>
  </si>
  <si>
    <t>OPENING PARTY FOOD</t>
  </si>
  <si>
    <t>OYSTER (12)</t>
  </si>
  <si>
    <t>Oysters - Dressed (12)(Tillys) - Dish</t>
  </si>
  <si>
    <t>OYSTER (3)</t>
  </si>
  <si>
    <t>Oysters - Cooked (3)(Tillys) - Dish</t>
  </si>
  <si>
    <t>OYSTER (6)</t>
  </si>
  <si>
    <t>Oysters - Cooked (6)(Tillys) - Dish</t>
  </si>
  <si>
    <t>PORK BELLY BAO</t>
  </si>
  <si>
    <t>Char Sui Pork Belly Bao, 1 (Tillys) - Dish</t>
  </si>
  <si>
    <t>PORK BELLY BITES</t>
  </si>
  <si>
    <t>Char Sui Pork Belly Bites (Tillys) - Dish</t>
  </si>
  <si>
    <t>PORK LARB (GF,VO,NFO)</t>
  </si>
  <si>
    <t>Pork Larb (Tillys) - Dish</t>
  </si>
  <si>
    <t>ROASTED CAULIFLOWER (GF, V, NFO)</t>
  </si>
  <si>
    <t xml:space="preserve">Roasted Chili Cauliflower (Tillys) - Dish </t>
  </si>
  <si>
    <t>ROTI BREAD (V, NF)</t>
  </si>
  <si>
    <t>Roti Bread with Butter (Tillys) - Dish</t>
  </si>
  <si>
    <t>SHARES</t>
  </si>
  <si>
    <t>SHOESTRING FRIES (GF, NF &amp; V)</t>
  </si>
  <si>
    <t>Ramen Fries (Tillys) - Dish</t>
  </si>
  <si>
    <t>SIDE JASMINE RICE )(NF, VGN,V,GF,DF)</t>
  </si>
  <si>
    <t>Steamed Jasmine Rice (Tillys) - Dish</t>
  </si>
  <si>
    <t>SOFT SHELL CRAB</t>
  </si>
  <si>
    <t>Soft Shell Crab 25 (Tillys) - Dish</t>
  </si>
  <si>
    <t>STEAMED SCALLOP &amp; PRAWN DPLS (4) (NF, DF)</t>
  </si>
  <si>
    <t>Scallop and Prawn Dumplings (Tillys) - Dish</t>
  </si>
  <si>
    <t>STEAMED VEGETARIAN DPLS (4) (NFO,VGN,V,DF)</t>
  </si>
  <si>
    <t>Vegetarian Dumplings (Tillys) - Dish</t>
  </si>
  <si>
    <t>TILLYS PLATTER FUNCTION</t>
  </si>
  <si>
    <t>Tillys Platter (Tillys) - Platter</t>
  </si>
  <si>
    <t>TUNA CRUDO</t>
  </si>
  <si>
    <t>Miso Tuna, Soy, Cucumber and Coriander (Tillys) - Dish</t>
  </si>
  <si>
    <t>WASABI SOY</t>
  </si>
  <si>
    <t>WITH FRIES</t>
  </si>
  <si>
    <t>WITH RICE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</si>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</sst>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5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4.6</v>
      </c>
      <c r="D7" s="3">
        <v>0</v>
      </c>
      <c r="E7" s="19">
        <v>0</v>
      </c>
      <c r="F7" s="16">
        <v>0</v>
      </c>
      <c r="G7" s="16">
        <v>0</v>
      </c>
      <c r="H7" s="16">
        <v>0</v>
      </c>
      <c r="I7" s="16">
        <v>0</v>
      </c>
      <c r="J7" s="28" t="s">
        <v>20</v>
      </c>
      <c r="K7" s="28" t="s">
        <v>20</v>
      </c>
    </row>
    <row r="8" s="3" customFormat="1">
      <c r="A8" s="3" t="s">
        <v>21</v>
      </c>
      <c r="B8" s="14" t="s">
        <v>22</v>
      </c>
      <c r="C8" s="15">
        <v>0</v>
      </c>
      <c r="D8" s="3">
        <v>0</v>
      </c>
      <c r="E8" s="19">
        <v>0</v>
      </c>
      <c r="F8" s="16">
        <v>0</v>
      </c>
      <c r="G8" s="16">
        <v>0</v>
      </c>
      <c r="H8" s="16">
        <v>0</v>
      </c>
      <c r="I8" s="16">
        <v>0</v>
      </c>
      <c r="J8" s="28" t="s">
        <v>20</v>
      </c>
      <c r="K8" s="28" t="s">
        <v>20</v>
      </c>
    </row>
    <row r="9" s="3" customFormat="1">
      <c r="A9" s="3" t="s">
        <v>23</v>
      </c>
      <c r="B9" s="14" t="s">
        <v>24</v>
      </c>
      <c r="C9" s="15">
        <v>4.95</v>
      </c>
      <c r="D9" s="3">
        <v>20</v>
      </c>
      <c r="E9" s="19">
        <v>99</v>
      </c>
      <c r="F9" s="16">
        <v>21</v>
      </c>
      <c r="G9" s="16">
        <v>420</v>
      </c>
      <c r="H9" s="16">
        <v>28.635</v>
      </c>
      <c r="I9" s="16">
        <v>315</v>
      </c>
      <c r="J9" s="20">
        <v>0.3457</v>
      </c>
      <c r="K9" s="20">
        <v>0.6543</v>
      </c>
    </row>
    <row r="10" s="3" customFormat="1">
      <c r="A10" s="3" t="s">
        <v>23</v>
      </c>
      <c r="B10" s="14" t="s">
        <v>22</v>
      </c>
      <c r="C10" s="15">
        <v>0</v>
      </c>
      <c r="D10" s="3">
        <v>52</v>
      </c>
      <c r="E10" s="19">
        <v>0</v>
      </c>
      <c r="F10" s="16">
        <v>21</v>
      </c>
      <c r="G10" s="16">
        <v>1092</v>
      </c>
      <c r="H10" s="16">
        <v>99.2681</v>
      </c>
      <c r="I10" s="16">
        <v>1092</v>
      </c>
      <c r="J10" s="28" t="s">
        <v>20</v>
      </c>
      <c r="K10" s="28" t="s">
        <v>20</v>
      </c>
    </row>
    <row r="11" s="3" customFormat="1">
      <c r="A11" s="3" t="s">
        <v>25</v>
      </c>
      <c r="B11" s="14" t="s">
        <v>26</v>
      </c>
      <c r="C11" s="15">
        <v>3.66</v>
      </c>
      <c r="D11" s="3">
        <v>33</v>
      </c>
      <c r="E11" s="19">
        <v>120.78</v>
      </c>
      <c r="F11" s="16">
        <v>18</v>
      </c>
      <c r="G11" s="16">
        <v>594</v>
      </c>
      <c r="H11" s="16">
        <v>43.5258</v>
      </c>
      <c r="I11" s="16">
        <v>478.8</v>
      </c>
      <c r="J11" s="20">
        <v>0.2775</v>
      </c>
      <c r="K11" s="20">
        <v>0.7225</v>
      </c>
    </row>
    <row r="12" s="3" customFormat="1">
      <c r="A12" s="3" t="s">
        <v>25</v>
      </c>
      <c r="B12" s="14" t="s">
        <v>22</v>
      </c>
      <c r="C12" s="15">
        <v>0</v>
      </c>
      <c r="D12" s="3">
        <v>93</v>
      </c>
      <c r="E12" s="19">
        <v>0</v>
      </c>
      <c r="F12" s="16">
        <v>18</v>
      </c>
      <c r="G12" s="16">
        <v>1674</v>
      </c>
      <c r="H12" s="16">
        <v>152.1774</v>
      </c>
      <c r="I12" s="16">
        <v>1674</v>
      </c>
      <c r="J12" s="28" t="s">
        <v>20</v>
      </c>
      <c r="K12" s="28" t="s">
        <v>20</v>
      </c>
    </row>
    <row r="13" s="3" customFormat="1">
      <c r="A13" s="3" t="s">
        <v>27</v>
      </c>
      <c r="B13" s="14" t="s">
        <v>28</v>
      </c>
      <c r="C13" s="15">
        <v>4.35</v>
      </c>
      <c r="D13" s="3">
        <v>14</v>
      </c>
      <c r="E13" s="19">
        <v>60.899999999999991</v>
      </c>
      <c r="F13" s="16">
        <v>24</v>
      </c>
      <c r="G13" s="16">
        <v>336</v>
      </c>
      <c r="H13" s="16">
        <v>21.818</v>
      </c>
      <c r="I13" s="16">
        <v>240</v>
      </c>
      <c r="J13" s="20">
        <v>0.2791</v>
      </c>
      <c r="K13" s="20">
        <v>0.7209</v>
      </c>
    </row>
    <row r="14" s="3" customFormat="1">
      <c r="A14" s="3" t="s">
        <v>27</v>
      </c>
      <c r="B14" s="14" t="s">
        <v>22</v>
      </c>
      <c r="C14" s="15">
        <v>0</v>
      </c>
      <c r="D14" s="3">
        <v>38</v>
      </c>
      <c r="E14" s="19">
        <v>0</v>
      </c>
      <c r="F14" s="16">
        <v>24</v>
      </c>
      <c r="G14" s="16">
        <v>912</v>
      </c>
      <c r="H14" s="16">
        <v>82.9084</v>
      </c>
      <c r="I14" s="16">
        <v>912</v>
      </c>
      <c r="J14" s="28" t="s">
        <v>20</v>
      </c>
      <c r="K14" s="28" t="s">
        <v>20</v>
      </c>
    </row>
    <row r="15" s="3" customFormat="1">
      <c r="A15" s="3" t="s">
        <v>29</v>
      </c>
      <c r="B15" s="14" t="s">
        <v>30</v>
      </c>
      <c r="C15" s="15">
        <v>4.46</v>
      </c>
      <c r="D15" s="3">
        <v>0</v>
      </c>
      <c r="E15" s="19">
        <v>0</v>
      </c>
      <c r="F15" s="16">
        <v>0</v>
      </c>
      <c r="G15" s="16">
        <v>0</v>
      </c>
      <c r="H15" s="16">
        <v>0</v>
      </c>
      <c r="I15" s="16">
        <v>0</v>
      </c>
      <c r="J15" s="28" t="s">
        <v>20</v>
      </c>
      <c r="K15" s="28" t="s">
        <v>20</v>
      </c>
    </row>
    <row r="16" s="3" customFormat="1">
      <c r="A16" s="3" t="s">
        <v>31</v>
      </c>
      <c r="B16" s="14" t="s">
        <v>32</v>
      </c>
      <c r="C16" s="15">
        <v>9.84</v>
      </c>
      <c r="D16" s="3">
        <v>0</v>
      </c>
      <c r="E16" s="19">
        <v>0</v>
      </c>
      <c r="F16" s="16">
        <v>0</v>
      </c>
      <c r="G16" s="16">
        <v>0</v>
      </c>
      <c r="H16" s="16">
        <v>0</v>
      </c>
      <c r="I16" s="16">
        <v>0</v>
      </c>
      <c r="J16" s="28" t="s">
        <v>20</v>
      </c>
      <c r="K16" s="28" t="s">
        <v>20</v>
      </c>
    </row>
    <row r="17" s="3" customFormat="1">
      <c r="A17" s="3" t="s">
        <v>33</v>
      </c>
      <c r="B17" s="14" t="s">
        <v>34</v>
      </c>
      <c r="C17" s="15">
        <v>4.23</v>
      </c>
      <c r="D17" s="3">
        <v>0</v>
      </c>
      <c r="E17" s="19">
        <v>0</v>
      </c>
      <c r="F17" s="16">
        <v>0</v>
      </c>
      <c r="G17" s="16">
        <v>0</v>
      </c>
      <c r="H17" s="16">
        <v>0</v>
      </c>
      <c r="I17" s="16">
        <v>0</v>
      </c>
      <c r="J17" s="28" t="s">
        <v>20</v>
      </c>
      <c r="K17" s="28" t="s">
        <v>20</v>
      </c>
    </row>
    <row r="18" s="3" customFormat="1">
      <c r="A18" s="3" t="s">
        <v>35</v>
      </c>
      <c r="B18" s="14" t="s">
        <v>36</v>
      </c>
      <c r="C18" s="15">
        <v>70.08</v>
      </c>
      <c r="D18" s="3">
        <v>0</v>
      </c>
      <c r="E18" s="19">
        <v>0</v>
      </c>
      <c r="F18" s="16">
        <v>0</v>
      </c>
      <c r="G18" s="16">
        <v>0</v>
      </c>
      <c r="H18" s="16">
        <v>0</v>
      </c>
      <c r="I18" s="16">
        <v>0</v>
      </c>
      <c r="J18" s="28" t="s">
        <v>20</v>
      </c>
      <c r="K18" s="28" t="s">
        <v>20</v>
      </c>
    </row>
    <row r="19" s="3" customFormat="1">
      <c r="A19" s="3" t="s">
        <v>37</v>
      </c>
      <c r="B19" s="14" t="s">
        <v>38</v>
      </c>
      <c r="C19" s="15">
        <v>1.92</v>
      </c>
      <c r="D19" s="3">
        <v>52</v>
      </c>
      <c r="E19" s="19">
        <v>99.84</v>
      </c>
      <c r="F19" s="16">
        <v>10</v>
      </c>
      <c r="G19" s="16">
        <v>520</v>
      </c>
      <c r="H19" s="16">
        <v>41.0879</v>
      </c>
      <c r="I19" s="16">
        <v>452</v>
      </c>
      <c r="J19" s="20">
        <v>0.243</v>
      </c>
      <c r="K19" s="20">
        <v>0.757</v>
      </c>
    </row>
    <row r="20" s="3" customFormat="1">
      <c r="A20" s="3" t="s">
        <v>37</v>
      </c>
      <c r="B20" s="14" t="s">
        <v>22</v>
      </c>
      <c r="C20" s="15">
        <v>0</v>
      </c>
      <c r="D20" s="3">
        <v>181</v>
      </c>
      <c r="E20" s="19">
        <v>0</v>
      </c>
      <c r="F20" s="16">
        <v>10</v>
      </c>
      <c r="G20" s="16">
        <v>1810</v>
      </c>
      <c r="H20" s="16">
        <v>164.5352</v>
      </c>
      <c r="I20" s="16">
        <v>1810</v>
      </c>
      <c r="J20" s="28" t="s">
        <v>20</v>
      </c>
      <c r="K20" s="28" t="s">
        <v>20</v>
      </c>
    </row>
    <row r="21" s="3" customFormat="1">
      <c r="A21" s="3" t="s">
        <v>39</v>
      </c>
      <c r="B21" s="14" t="s">
        <v>38</v>
      </c>
      <c r="C21" s="15">
        <v>1.92</v>
      </c>
      <c r="D21" s="3">
        <v>0</v>
      </c>
      <c r="E21" s="19">
        <v>0</v>
      </c>
      <c r="F21" s="16">
        <v>0</v>
      </c>
      <c r="G21" s="16">
        <v>0</v>
      </c>
      <c r="H21" s="16">
        <v>0</v>
      </c>
      <c r="I21" s="16">
        <v>0</v>
      </c>
      <c r="J21" s="28" t="s">
        <v>20</v>
      </c>
      <c r="K21" s="28" t="s">
        <v>20</v>
      </c>
    </row>
    <row r="22" s="3" customFormat="1">
      <c r="A22" s="3" t="s">
        <v>40</v>
      </c>
      <c r="B22" s="14" t="s">
        <v>41</v>
      </c>
      <c r="C22" s="15">
        <v>2.66</v>
      </c>
      <c r="D22" s="3">
        <v>14</v>
      </c>
      <c r="E22" s="19">
        <v>37.24</v>
      </c>
      <c r="F22" s="16">
        <v>16</v>
      </c>
      <c r="G22" s="16">
        <v>224</v>
      </c>
      <c r="H22" s="16">
        <v>17.454</v>
      </c>
      <c r="I22" s="16">
        <v>192</v>
      </c>
      <c r="J22" s="20">
        <v>0.2134</v>
      </c>
      <c r="K22" s="20">
        <v>0.7866</v>
      </c>
    </row>
    <row r="23" s="3" customFormat="1">
      <c r="A23" s="3" t="s">
        <v>40</v>
      </c>
      <c r="B23" s="14" t="s">
        <v>22</v>
      </c>
      <c r="C23" s="15">
        <v>0</v>
      </c>
      <c r="D23" s="3">
        <v>41</v>
      </c>
      <c r="E23" s="19">
        <v>0</v>
      </c>
      <c r="F23" s="16">
        <v>16</v>
      </c>
      <c r="G23" s="16">
        <v>656</v>
      </c>
      <c r="H23" s="16">
        <v>59.6345</v>
      </c>
      <c r="I23" s="16">
        <v>656</v>
      </c>
      <c r="J23" s="28" t="s">
        <v>20</v>
      </c>
      <c r="K23" s="28" t="s">
        <v>20</v>
      </c>
    </row>
    <row r="24" s="3" customFormat="1">
      <c r="A24" s="3" t="s">
        <v>42</v>
      </c>
      <c r="B24" s="14" t="s">
        <v>43</v>
      </c>
      <c r="C24" s="15">
        <v>2.27</v>
      </c>
      <c r="D24" s="3">
        <v>9</v>
      </c>
      <c r="E24" s="19">
        <v>20.43</v>
      </c>
      <c r="F24" s="16">
        <v>15</v>
      </c>
      <c r="G24" s="16">
        <v>135</v>
      </c>
      <c r="H24" s="16">
        <v>10.0906</v>
      </c>
      <c r="I24" s="16">
        <v>111</v>
      </c>
      <c r="J24" s="20">
        <v>0.2025</v>
      </c>
      <c r="K24" s="20">
        <v>0.7975</v>
      </c>
    </row>
    <row r="25" s="3" customFormat="1">
      <c r="A25" s="3" t="s">
        <v>42</v>
      </c>
      <c r="B25" s="14" t="s">
        <v>22</v>
      </c>
      <c r="C25" s="15">
        <v>0</v>
      </c>
      <c r="D25" s="3">
        <v>19</v>
      </c>
      <c r="E25" s="19">
        <v>0</v>
      </c>
      <c r="F25" s="16">
        <v>15</v>
      </c>
      <c r="G25" s="16">
        <v>285</v>
      </c>
      <c r="H25" s="16">
        <v>25.9084</v>
      </c>
      <c r="I25" s="16">
        <v>285</v>
      </c>
      <c r="J25" s="28" t="s">
        <v>20</v>
      </c>
      <c r="K25" s="28" t="s">
        <v>20</v>
      </c>
    </row>
    <row r="26" s="3" customFormat="1">
      <c r="A26" s="3" t="s">
        <v>44</v>
      </c>
      <c r="B26" s="14" t="s">
        <v>22</v>
      </c>
      <c r="C26" s="15">
        <v>0</v>
      </c>
      <c r="D26" s="3">
        <v>5</v>
      </c>
      <c r="E26" s="19">
        <v>0</v>
      </c>
      <c r="F26" s="16">
        <v>0</v>
      </c>
      <c r="G26" s="16">
        <v>0</v>
      </c>
      <c r="H26" s="16">
        <v>0</v>
      </c>
      <c r="I26" s="16">
        <v>0</v>
      </c>
      <c r="J26" s="28" t="s">
        <v>20</v>
      </c>
      <c r="K26" s="28" t="s">
        <v>20</v>
      </c>
    </row>
    <row r="27" s="3" customFormat="1">
      <c r="A27" s="3" t="s">
        <v>45</v>
      </c>
      <c r="B27" s="14" t="s">
        <v>46</v>
      </c>
      <c r="C27" s="15">
        <v>3.46</v>
      </c>
      <c r="D27" s="3">
        <v>10</v>
      </c>
      <c r="E27" s="19">
        <v>34.6</v>
      </c>
      <c r="F27" s="16">
        <v>15.5</v>
      </c>
      <c r="G27" s="16">
        <v>155</v>
      </c>
      <c r="H27" s="16">
        <v>12.2724</v>
      </c>
      <c r="I27" s="16">
        <v>135</v>
      </c>
      <c r="J27" s="20">
        <v>0.2819</v>
      </c>
      <c r="K27" s="20">
        <v>0.7181</v>
      </c>
    </row>
    <row r="28" s="3" customFormat="1">
      <c r="A28" s="3" t="s">
        <v>45</v>
      </c>
      <c r="B28" s="14" t="s">
        <v>22</v>
      </c>
      <c r="C28" s="15">
        <v>0</v>
      </c>
      <c r="D28" s="3">
        <v>34</v>
      </c>
      <c r="E28" s="19">
        <v>0</v>
      </c>
      <c r="F28" s="16">
        <v>15</v>
      </c>
      <c r="G28" s="16">
        <v>510</v>
      </c>
      <c r="H28" s="16">
        <v>46.3624</v>
      </c>
      <c r="I28" s="16">
        <v>510</v>
      </c>
      <c r="J28" s="28" t="s">
        <v>20</v>
      </c>
      <c r="K28" s="28" t="s">
        <v>20</v>
      </c>
    </row>
    <row r="29" s="3" customFormat="1">
      <c r="A29" s="3" t="s">
        <v>47</v>
      </c>
      <c r="B29" s="14" t="s">
        <v>48</v>
      </c>
      <c r="C29" s="15">
        <v>47.92</v>
      </c>
      <c r="D29" s="3">
        <v>0</v>
      </c>
      <c r="E29" s="19">
        <v>0</v>
      </c>
      <c r="F29" s="16">
        <v>0</v>
      </c>
      <c r="G29" s="16">
        <v>0</v>
      </c>
      <c r="H29" s="16">
        <v>0</v>
      </c>
      <c r="I29" s="16">
        <v>0</v>
      </c>
      <c r="J29" s="28" t="s">
        <v>20</v>
      </c>
      <c r="K29" s="28" t="s">
        <v>20</v>
      </c>
    </row>
    <row r="30" s="3" customFormat="1">
      <c r="A30" s="3" t="s">
        <v>49</v>
      </c>
      <c r="B30" s="14" t="s">
        <v>22</v>
      </c>
      <c r="C30" s="15">
        <v>0</v>
      </c>
      <c r="D30" s="3">
        <v>4</v>
      </c>
      <c r="E30" s="19">
        <v>0</v>
      </c>
      <c r="F30" s="16">
        <v>2</v>
      </c>
      <c r="G30" s="16">
        <v>8</v>
      </c>
      <c r="H30" s="16">
        <v>0.7272</v>
      </c>
      <c r="I30" s="16">
        <v>8</v>
      </c>
      <c r="J30" s="28" t="s">
        <v>20</v>
      </c>
      <c r="K30" s="28" t="s">
        <v>20</v>
      </c>
    </row>
    <row r="31" s="3" customFormat="1">
      <c r="A31" s="3" t="s">
        <v>50</v>
      </c>
      <c r="B31" s="14" t="s">
        <v>22</v>
      </c>
      <c r="C31" s="15">
        <v>0</v>
      </c>
      <c r="D31" s="3">
        <v>5</v>
      </c>
      <c r="E31" s="19">
        <v>0</v>
      </c>
      <c r="F31" s="16">
        <v>9</v>
      </c>
      <c r="G31" s="16">
        <v>45</v>
      </c>
      <c r="H31" s="16">
        <v>4.0905</v>
      </c>
      <c r="I31" s="16">
        <v>45</v>
      </c>
      <c r="J31" s="28" t="s">
        <v>20</v>
      </c>
      <c r="K31" s="28" t="s">
        <v>20</v>
      </c>
    </row>
    <row r="32" s="3" customFormat="1">
      <c r="A32" s="3" t="s">
        <v>51</v>
      </c>
      <c r="B32" s="14" t="s">
        <v>52</v>
      </c>
      <c r="C32" s="15">
        <v>0.73</v>
      </c>
      <c r="D32" s="3">
        <v>5</v>
      </c>
      <c r="E32" s="19">
        <v>3.65</v>
      </c>
      <c r="F32" s="16">
        <v>2</v>
      </c>
      <c r="G32" s="16">
        <v>10</v>
      </c>
      <c r="H32" s="16">
        <v>0</v>
      </c>
      <c r="I32" s="16">
        <v>0</v>
      </c>
      <c r="J32" s="20">
        <v>0.365</v>
      </c>
      <c r="K32" s="20">
        <v>0.635</v>
      </c>
    </row>
    <row r="33" s="3" customFormat="1">
      <c r="A33" s="3" t="s">
        <v>53</v>
      </c>
      <c r="B33" s="14" t="s">
        <v>22</v>
      </c>
      <c r="C33" s="15">
        <v>0</v>
      </c>
      <c r="D33" s="3">
        <v>2</v>
      </c>
      <c r="E33" s="19">
        <v>0</v>
      </c>
      <c r="F33" s="16">
        <v>10</v>
      </c>
      <c r="G33" s="16">
        <v>20</v>
      </c>
      <c r="H33" s="16">
        <v>1.818</v>
      </c>
      <c r="I33" s="16">
        <v>20</v>
      </c>
      <c r="J33" s="28" t="s">
        <v>20</v>
      </c>
      <c r="K33" s="28" t="s">
        <v>20</v>
      </c>
    </row>
    <row r="34" s="3" customFormat="1">
      <c r="A34" s="3" t="s">
        <v>54</v>
      </c>
      <c r="B34" s="14" t="s">
        <v>55</v>
      </c>
      <c r="C34" s="15">
        <v>0.35</v>
      </c>
      <c r="D34" s="3">
        <v>2</v>
      </c>
      <c r="E34" s="19">
        <v>0.7</v>
      </c>
      <c r="F34" s="16">
        <v>2</v>
      </c>
      <c r="G34" s="16">
        <v>4</v>
      </c>
      <c r="H34" s="16">
        <v>0.2544</v>
      </c>
      <c r="I34" s="16">
        <v>2.8</v>
      </c>
      <c r="J34" s="20">
        <v>0.275</v>
      </c>
      <c r="K34" s="20">
        <v>0.725</v>
      </c>
    </row>
    <row r="35">
      <c r="A35" s="3" t="s">
        <v>56</v>
      </c>
      <c r="B35" s="14" t="s">
        <v>57</v>
      </c>
      <c r="C35" s="15">
        <v>0</v>
      </c>
      <c r="D35" s="3">
        <v>1</v>
      </c>
      <c r="E35" s="19">
        <v>0</v>
      </c>
      <c r="F35" s="16">
        <v>2</v>
      </c>
      <c r="G35" s="16">
        <v>2</v>
      </c>
      <c r="H35" s="16">
        <v>0.1272</v>
      </c>
      <c r="I35" s="16">
        <v>1.4</v>
      </c>
      <c r="J35" s="28" t="s">
        <v>20</v>
      </c>
      <c r="K35" s="28" t="s">
        <v>20</v>
      </c>
    </row>
    <row r="36">
      <c r="A36" s="3" t="s">
        <v>58</v>
      </c>
      <c r="B36" s="14" t="s">
        <v>22</v>
      </c>
      <c r="C36" s="15">
        <v>0</v>
      </c>
      <c r="D36" s="3">
        <v>1</v>
      </c>
      <c r="E36" s="19">
        <v>0</v>
      </c>
      <c r="F36" s="16">
        <v>9</v>
      </c>
      <c r="G36" s="16">
        <v>9</v>
      </c>
      <c r="H36" s="16">
        <v>0.8181</v>
      </c>
      <c r="I36" s="16">
        <v>9</v>
      </c>
      <c r="J36" s="28" t="s">
        <v>20</v>
      </c>
      <c r="K36" s="28" t="s">
        <v>20</v>
      </c>
    </row>
    <row r="37">
      <c r="A37" s="3" t="s">
        <v>59</v>
      </c>
      <c r="B37" s="14" t="s">
        <v>22</v>
      </c>
      <c r="C37" s="15">
        <v>0</v>
      </c>
      <c r="D37" s="3">
        <v>130</v>
      </c>
      <c r="E37" s="19">
        <v>0</v>
      </c>
      <c r="F37" s="16">
        <v>0</v>
      </c>
      <c r="G37" s="16">
        <v>0</v>
      </c>
      <c r="H37" s="16">
        <v>0</v>
      </c>
      <c r="I37" s="16">
        <v>0</v>
      </c>
      <c r="J37" s="28" t="s">
        <v>20</v>
      </c>
      <c r="K37" s="28" t="s">
        <v>20</v>
      </c>
    </row>
    <row r="38">
      <c r="A38" s="3" t="s">
        <v>60</v>
      </c>
      <c r="B38" s="14" t="s">
        <v>61</v>
      </c>
      <c r="C38" s="15">
        <v>5.35</v>
      </c>
      <c r="D38" s="3">
        <v>36</v>
      </c>
      <c r="E38" s="19">
        <v>192.6</v>
      </c>
      <c r="F38" s="16">
        <v>17</v>
      </c>
      <c r="G38" s="16">
        <v>612</v>
      </c>
      <c r="H38" s="16">
        <v>48.9893</v>
      </c>
      <c r="I38" s="16">
        <v>538.9</v>
      </c>
      <c r="J38" s="20">
        <v>0.3931</v>
      </c>
      <c r="K38" s="20">
        <v>0.6069</v>
      </c>
    </row>
    <row r="39">
      <c r="A39" s="3" t="s">
        <v>60</v>
      </c>
      <c r="B39" s="14" t="s">
        <v>22</v>
      </c>
      <c r="C39" s="15">
        <v>0</v>
      </c>
      <c r="D39" s="3">
        <v>149</v>
      </c>
      <c r="E39" s="19">
        <v>0</v>
      </c>
      <c r="F39" s="16">
        <v>17</v>
      </c>
      <c r="G39" s="16">
        <v>2533</v>
      </c>
      <c r="H39" s="16">
        <v>230.2654</v>
      </c>
      <c r="I39" s="16">
        <v>2533</v>
      </c>
      <c r="J39" s="28" t="s">
        <v>20</v>
      </c>
      <c r="K39" s="28" t="s">
        <v>20</v>
      </c>
    </row>
    <row r="40">
      <c r="A40" s="3" t="s">
        <v>62</v>
      </c>
      <c r="B40" s="14" t="s">
        <v>63</v>
      </c>
      <c r="C40" s="15">
        <v>46.15</v>
      </c>
      <c r="D40" s="3">
        <v>0</v>
      </c>
      <c r="E40" s="19">
        <v>0</v>
      </c>
      <c r="F40" s="16">
        <v>0</v>
      </c>
      <c r="G40" s="16">
        <v>0</v>
      </c>
      <c r="H40" s="16">
        <v>0</v>
      </c>
      <c r="I40" s="16">
        <v>0</v>
      </c>
      <c r="J40" s="28" t="s">
        <v>20</v>
      </c>
      <c r="K40" s="28" t="s">
        <v>20</v>
      </c>
    </row>
    <row r="41">
      <c r="A41" s="3" t="s">
        <v>64</v>
      </c>
      <c r="B41" s="14" t="s">
        <v>65</v>
      </c>
      <c r="C41" s="15">
        <v>5.91</v>
      </c>
      <c r="D41" s="3">
        <v>0</v>
      </c>
      <c r="E41" s="19">
        <v>0</v>
      </c>
      <c r="F41" s="16">
        <v>0</v>
      </c>
      <c r="G41" s="16">
        <v>0</v>
      </c>
      <c r="H41" s="16">
        <v>0</v>
      </c>
      <c r="I41" s="16">
        <v>0</v>
      </c>
      <c r="J41" s="28" t="s">
        <v>20</v>
      </c>
      <c r="K41" s="28" t="s">
        <v>20</v>
      </c>
    </row>
    <row r="42">
      <c r="A42" s="3" t="s">
        <v>66</v>
      </c>
      <c r="B42" s="14" t="s">
        <v>67</v>
      </c>
      <c r="C42" s="15">
        <v>1.38</v>
      </c>
      <c r="D42" s="3">
        <v>0</v>
      </c>
      <c r="E42" s="19">
        <v>0</v>
      </c>
      <c r="F42" s="16">
        <v>0</v>
      </c>
      <c r="G42" s="16">
        <v>0</v>
      </c>
      <c r="H42" s="16">
        <v>0</v>
      </c>
      <c r="I42" s="16">
        <v>0</v>
      </c>
      <c r="J42" s="28" t="s">
        <v>20</v>
      </c>
      <c r="K42" s="28" t="s">
        <v>20</v>
      </c>
    </row>
    <row r="43">
      <c r="A43" s="3" t="s">
        <v>68</v>
      </c>
      <c r="B43" s="14" t="s">
        <v>69</v>
      </c>
      <c r="C43" s="15">
        <v>5.54</v>
      </c>
      <c r="D43" s="3">
        <v>47</v>
      </c>
      <c r="E43" s="19">
        <v>260.38</v>
      </c>
      <c r="F43" s="16">
        <v>23</v>
      </c>
      <c r="G43" s="16">
        <v>1081</v>
      </c>
      <c r="H43" s="16">
        <v>83.845</v>
      </c>
      <c r="I43" s="16">
        <v>922.3</v>
      </c>
      <c r="J43" s="20">
        <v>0.3105</v>
      </c>
      <c r="K43" s="20">
        <v>0.6895</v>
      </c>
    </row>
    <row r="44">
      <c r="A44" s="3" t="s">
        <v>68</v>
      </c>
      <c r="B44" s="14" t="s">
        <v>22</v>
      </c>
      <c r="C44" s="15">
        <v>0</v>
      </c>
      <c r="D44" s="3">
        <v>118</v>
      </c>
      <c r="E44" s="19">
        <v>0</v>
      </c>
      <c r="F44" s="16">
        <v>23</v>
      </c>
      <c r="G44" s="16">
        <v>2714</v>
      </c>
      <c r="H44" s="16">
        <v>246.7262</v>
      </c>
      <c r="I44" s="16">
        <v>2714</v>
      </c>
      <c r="J44" s="28" t="s">
        <v>20</v>
      </c>
      <c r="K44" s="28" t="s">
        <v>20</v>
      </c>
    </row>
    <row r="45">
      <c r="A45" s="3" t="s">
        <v>70</v>
      </c>
      <c r="B45" s="14" t="s">
        <v>71</v>
      </c>
      <c r="C45" s="15">
        <v>3.2</v>
      </c>
      <c r="D45" s="3">
        <v>1</v>
      </c>
      <c r="E45" s="19">
        <v>3.2</v>
      </c>
      <c r="F45" s="16">
        <v>15</v>
      </c>
      <c r="G45" s="16">
        <v>15</v>
      </c>
      <c r="H45" s="16">
        <v>1.3636</v>
      </c>
      <c r="I45" s="16">
        <v>15</v>
      </c>
      <c r="J45" s="20">
        <v>0.2347</v>
      </c>
      <c r="K45" s="20">
        <v>0.7653</v>
      </c>
    </row>
    <row r="46">
      <c r="A46" s="3" t="s">
        <v>70</v>
      </c>
      <c r="B46" s="14" t="s">
        <v>71</v>
      </c>
      <c r="C46" s="15">
        <v>3.2</v>
      </c>
      <c r="D46" s="3">
        <v>18</v>
      </c>
      <c r="E46" s="19">
        <v>57.6</v>
      </c>
      <c r="F46" s="16">
        <v>15</v>
      </c>
      <c r="G46" s="16">
        <v>270</v>
      </c>
      <c r="H46" s="16">
        <v>24.5448</v>
      </c>
      <c r="I46" s="16">
        <v>270</v>
      </c>
      <c r="J46" s="20">
        <v>0.2347</v>
      </c>
      <c r="K46" s="20">
        <v>0.7653</v>
      </c>
    </row>
    <row r="47">
      <c r="A47" s="3" t="s">
        <v>72</v>
      </c>
      <c r="B47" s="14" t="s">
        <v>73</v>
      </c>
      <c r="C47" s="15">
        <v>2.88</v>
      </c>
      <c r="D47" s="3">
        <v>24</v>
      </c>
      <c r="E47" s="19">
        <v>69.12</v>
      </c>
      <c r="F47" s="16">
        <v>15</v>
      </c>
      <c r="G47" s="16">
        <v>360</v>
      </c>
      <c r="H47" s="16">
        <v>18.5448</v>
      </c>
      <c r="I47" s="16">
        <v>204</v>
      </c>
      <c r="J47" s="20">
        <v>0.3727</v>
      </c>
      <c r="K47" s="20">
        <v>0.6273</v>
      </c>
    </row>
    <row r="48">
      <c r="A48" s="3" t="s">
        <v>72</v>
      </c>
      <c r="B48" s="14" t="s">
        <v>73</v>
      </c>
      <c r="C48" s="15">
        <v>2.88</v>
      </c>
      <c r="D48" s="3">
        <v>23</v>
      </c>
      <c r="E48" s="19">
        <v>66.24</v>
      </c>
      <c r="F48" s="16">
        <v>15</v>
      </c>
      <c r="G48" s="16">
        <v>345</v>
      </c>
      <c r="H48" s="16">
        <v>31.3628</v>
      </c>
      <c r="I48" s="16">
        <v>345</v>
      </c>
      <c r="J48" s="20">
        <v>0.2112</v>
      </c>
      <c r="K48" s="20">
        <v>0.7888</v>
      </c>
    </row>
    <row r="49">
      <c r="A49" s="3" t="s">
        <v>74</v>
      </c>
      <c r="B49" s="14" t="s">
        <v>75</v>
      </c>
      <c r="C49" s="15">
        <v>2.36</v>
      </c>
      <c r="D49" s="3">
        <v>34</v>
      </c>
      <c r="E49" s="19">
        <v>80.24</v>
      </c>
      <c r="F49" s="16">
        <v>16</v>
      </c>
      <c r="G49" s="16">
        <v>544</v>
      </c>
      <c r="H49" s="16">
        <v>42.4711</v>
      </c>
      <c r="I49" s="16">
        <v>467.2</v>
      </c>
      <c r="J49" s="20">
        <v>0.1889</v>
      </c>
      <c r="K49" s="20">
        <v>0.8111</v>
      </c>
    </row>
    <row r="50">
      <c r="A50" s="3" t="s">
        <v>74</v>
      </c>
      <c r="B50" s="14" t="s">
        <v>22</v>
      </c>
      <c r="C50" s="15">
        <v>0</v>
      </c>
      <c r="D50" s="3">
        <v>94</v>
      </c>
      <c r="E50" s="19">
        <v>0</v>
      </c>
      <c r="F50" s="16">
        <v>16</v>
      </c>
      <c r="G50" s="16">
        <v>1504</v>
      </c>
      <c r="H50" s="16">
        <v>136.723</v>
      </c>
      <c r="I50" s="16">
        <v>1504</v>
      </c>
      <c r="J50" s="28" t="s">
        <v>20</v>
      </c>
      <c r="K50" s="28" t="s">
        <v>20</v>
      </c>
    </row>
    <row r="51">
      <c r="A51" s="3" t="s">
        <v>76</v>
      </c>
      <c r="B51" s="14" t="s">
        <v>77</v>
      </c>
      <c r="C51" s="15">
        <v>26.28</v>
      </c>
      <c r="D51" s="3">
        <v>3</v>
      </c>
      <c r="E51" s="19">
        <v>78.84</v>
      </c>
      <c r="F51" s="16">
        <v>0</v>
      </c>
      <c r="G51" s="16">
        <v>0</v>
      </c>
      <c r="H51" s="16">
        <v>0</v>
      </c>
      <c r="I51" s="16">
        <v>0</v>
      </c>
      <c r="J51" s="28" t="s">
        <v>20</v>
      </c>
      <c r="K51" s="28" t="s">
        <v>20</v>
      </c>
    </row>
    <row r="52">
      <c r="A52" s="3" t="s">
        <v>76</v>
      </c>
      <c r="B52" s="14" t="s">
        <v>22</v>
      </c>
      <c r="C52" s="15">
        <v>0</v>
      </c>
      <c r="D52" s="3">
        <v>7</v>
      </c>
      <c r="E52" s="19">
        <v>0</v>
      </c>
      <c r="F52" s="16">
        <v>0</v>
      </c>
      <c r="G52" s="16">
        <v>0</v>
      </c>
      <c r="H52" s="16">
        <v>0</v>
      </c>
      <c r="I52" s="16">
        <v>0</v>
      </c>
      <c r="J52" s="28" t="s">
        <v>20</v>
      </c>
      <c r="K52" s="28" t="s">
        <v>20</v>
      </c>
    </row>
    <row r="53">
      <c r="A53" s="3" t="s">
        <v>78</v>
      </c>
      <c r="B53" s="14" t="s">
        <v>79</v>
      </c>
      <c r="C53" s="15">
        <v>1.79</v>
      </c>
      <c r="D53" s="3">
        <v>22</v>
      </c>
      <c r="E53" s="19">
        <v>39.38</v>
      </c>
      <c r="F53" s="16">
        <v>16</v>
      </c>
      <c r="G53" s="16">
        <v>352</v>
      </c>
      <c r="H53" s="16">
        <v>25.7446</v>
      </c>
      <c r="I53" s="16">
        <v>283.2</v>
      </c>
      <c r="J53" s="20">
        <v>0.153</v>
      </c>
      <c r="K53" s="20">
        <v>0.847</v>
      </c>
    </row>
    <row r="54">
      <c r="A54" s="3" t="s">
        <v>78</v>
      </c>
      <c r="B54" s="14" t="s">
        <v>22</v>
      </c>
      <c r="C54" s="15">
        <v>0</v>
      </c>
      <c r="D54" s="3">
        <v>132</v>
      </c>
      <c r="E54" s="19">
        <v>0</v>
      </c>
      <c r="F54" s="16">
        <v>16</v>
      </c>
      <c r="G54" s="16">
        <v>2112</v>
      </c>
      <c r="H54" s="16">
        <v>191.9941</v>
      </c>
      <c r="I54" s="16">
        <v>2112</v>
      </c>
      <c r="J54" s="28" t="s">
        <v>20</v>
      </c>
      <c r="K54" s="28" t="s">
        <v>20</v>
      </c>
    </row>
    <row r="55">
      <c r="A55" s="3" t="s">
        <v>80</v>
      </c>
      <c r="B55" s="14" t="s">
        <v>81</v>
      </c>
      <c r="C55" s="15">
        <v>2.21</v>
      </c>
      <c r="D55" s="3">
        <v>6</v>
      </c>
      <c r="E55" s="19">
        <v>13.26</v>
      </c>
      <c r="F55" s="16">
        <v>10</v>
      </c>
      <c r="G55" s="16">
        <v>60</v>
      </c>
      <c r="H55" s="16">
        <v>3.7269</v>
      </c>
      <c r="I55" s="16">
        <v>41</v>
      </c>
      <c r="J55" s="20">
        <v>0.3558</v>
      </c>
      <c r="K55" s="20">
        <v>0.6442</v>
      </c>
    </row>
    <row r="56">
      <c r="A56" s="3" t="s">
        <v>80</v>
      </c>
      <c r="B56" s="14" t="s">
        <v>22</v>
      </c>
      <c r="C56" s="15">
        <v>0</v>
      </c>
      <c r="D56" s="3">
        <v>36</v>
      </c>
      <c r="E56" s="19">
        <v>0</v>
      </c>
      <c r="F56" s="16">
        <v>10</v>
      </c>
      <c r="G56" s="16">
        <v>360</v>
      </c>
      <c r="H56" s="16">
        <v>32.7245</v>
      </c>
      <c r="I56" s="16">
        <v>360</v>
      </c>
      <c r="J56" s="28" t="s">
        <v>20</v>
      </c>
      <c r="K56" s="28" t="s">
        <v>20</v>
      </c>
    </row>
    <row r="57">
      <c r="A57" s="3" t="s">
        <v>82</v>
      </c>
      <c r="B57" s="14" t="s">
        <v>22</v>
      </c>
      <c r="C57" s="15">
        <v>0</v>
      </c>
      <c r="D57" s="3">
        <v>11</v>
      </c>
      <c r="E57" s="19">
        <v>0</v>
      </c>
      <c r="F57" s="16">
        <v>0</v>
      </c>
      <c r="G57" s="16">
        <v>0</v>
      </c>
      <c r="H57" s="16">
        <v>0</v>
      </c>
      <c r="I57" s="16">
        <v>0</v>
      </c>
      <c r="J57" s="28" t="s">
        <v>20</v>
      </c>
      <c r="K57" s="28" t="s">
        <v>20</v>
      </c>
    </row>
    <row r="58">
      <c r="A58" s="3" t="s">
        <v>82</v>
      </c>
      <c r="B58" s="14" t="s">
        <v>22</v>
      </c>
      <c r="C58" s="15">
        <v>0</v>
      </c>
      <c r="D58" s="3">
        <v>4</v>
      </c>
      <c r="E58" s="19">
        <v>0</v>
      </c>
      <c r="F58" s="16">
        <v>0</v>
      </c>
      <c r="G58" s="16">
        <v>0</v>
      </c>
      <c r="H58" s="16">
        <v>0</v>
      </c>
      <c r="I58" s="16">
        <v>0</v>
      </c>
      <c r="J58" s="28" t="s">
        <v>20</v>
      </c>
      <c r="K58" s="28" t="s">
        <v>20</v>
      </c>
    </row>
    <row r="59">
      <c r="A59" s="3" t="s">
        <v>83</v>
      </c>
      <c r="B59" s="14" t="s">
        <v>22</v>
      </c>
      <c r="C59" s="15">
        <v>0</v>
      </c>
      <c r="D59" s="3">
        <v>1</v>
      </c>
      <c r="E59" s="19">
        <v>0</v>
      </c>
      <c r="F59" s="16">
        <v>1370</v>
      </c>
      <c r="G59" s="16">
        <v>1370</v>
      </c>
      <c r="H59" s="16">
        <v>124.5454</v>
      </c>
      <c r="I59" s="16">
        <v>1370</v>
      </c>
      <c r="J59" s="28" t="s">
        <v>20</v>
      </c>
      <c r="K59" s="28" t="s">
        <v>20</v>
      </c>
    </row>
    <row r="60">
      <c r="A60" s="3" t="s">
        <v>84</v>
      </c>
      <c r="B60" s="14" t="s">
        <v>22</v>
      </c>
      <c r="C60" s="15">
        <v>0</v>
      </c>
      <c r="D60" s="3">
        <v>131</v>
      </c>
      <c r="E60" s="19">
        <v>0</v>
      </c>
      <c r="F60" s="16">
        <v>36</v>
      </c>
      <c r="G60" s="16">
        <v>4716</v>
      </c>
      <c r="H60" s="16">
        <v>428.7271</v>
      </c>
      <c r="I60" s="16">
        <v>4716</v>
      </c>
      <c r="J60" s="28" t="s">
        <v>20</v>
      </c>
      <c r="K60" s="28" t="s">
        <v>20</v>
      </c>
    </row>
    <row r="61">
      <c r="A61" s="3" t="s">
        <v>85</v>
      </c>
      <c r="B61" s="14" t="s">
        <v>86</v>
      </c>
      <c r="C61" s="15">
        <v>30.12</v>
      </c>
      <c r="D61" s="3">
        <v>0</v>
      </c>
      <c r="E61" s="19">
        <v>0</v>
      </c>
      <c r="F61" s="16">
        <v>0</v>
      </c>
      <c r="G61" s="16">
        <v>0</v>
      </c>
      <c r="H61" s="16">
        <v>0</v>
      </c>
      <c r="I61" s="16">
        <v>0</v>
      </c>
      <c r="J61" s="28" t="s">
        <v>20</v>
      </c>
      <c r="K61" s="28" t="s">
        <v>20</v>
      </c>
    </row>
    <row r="62">
      <c r="A62" s="3" t="s">
        <v>85</v>
      </c>
      <c r="B62" s="14" t="s">
        <v>22</v>
      </c>
      <c r="C62" s="15">
        <v>0</v>
      </c>
      <c r="D62" s="3">
        <v>1</v>
      </c>
      <c r="E62" s="19">
        <v>0</v>
      </c>
      <c r="F62" s="16">
        <v>70</v>
      </c>
      <c r="G62" s="16">
        <v>70</v>
      </c>
      <c r="H62" s="16">
        <v>6.3636</v>
      </c>
      <c r="I62" s="16">
        <v>70</v>
      </c>
      <c r="J62" s="28" t="s">
        <v>20</v>
      </c>
      <c r="K62" s="28" t="s">
        <v>20</v>
      </c>
    </row>
    <row r="63">
      <c r="A63" s="3" t="s">
        <v>87</v>
      </c>
      <c r="B63" s="14" t="s">
        <v>88</v>
      </c>
      <c r="C63" s="15">
        <v>6.57</v>
      </c>
      <c r="D63" s="3">
        <v>6</v>
      </c>
      <c r="E63" s="19">
        <v>39.42</v>
      </c>
      <c r="F63" s="16">
        <v>18</v>
      </c>
      <c r="G63" s="16">
        <v>108</v>
      </c>
      <c r="H63" s="16">
        <v>4.9089</v>
      </c>
      <c r="I63" s="16">
        <v>54</v>
      </c>
      <c r="J63" s="20">
        <v>0.803</v>
      </c>
      <c r="K63" s="20">
        <v>0.197</v>
      </c>
    </row>
    <row r="64">
      <c r="A64" s="3" t="s">
        <v>87</v>
      </c>
      <c r="B64" s="14" t="s">
        <v>88</v>
      </c>
      <c r="C64" s="15">
        <v>6.57</v>
      </c>
      <c r="D64" s="3">
        <v>19</v>
      </c>
      <c r="E64" s="19">
        <v>124.83000000000001</v>
      </c>
      <c r="F64" s="16">
        <v>18</v>
      </c>
      <c r="G64" s="16">
        <v>342</v>
      </c>
      <c r="H64" s="16">
        <v>31.0897</v>
      </c>
      <c r="I64" s="16">
        <v>342</v>
      </c>
      <c r="J64" s="20">
        <v>0.4015</v>
      </c>
      <c r="K64" s="20">
        <v>0.5985</v>
      </c>
    </row>
    <row r="65">
      <c r="A65" s="3" t="s">
        <v>89</v>
      </c>
      <c r="B65" s="14" t="s">
        <v>90</v>
      </c>
      <c r="C65" s="15">
        <v>13.14</v>
      </c>
      <c r="D65" s="3">
        <v>9</v>
      </c>
      <c r="E65" s="19">
        <v>118.26</v>
      </c>
      <c r="F65" s="16">
        <v>35</v>
      </c>
      <c r="G65" s="16">
        <v>315</v>
      </c>
      <c r="H65" s="16">
        <v>28.6362</v>
      </c>
      <c r="I65" s="16">
        <v>315</v>
      </c>
      <c r="J65" s="20">
        <v>0.413</v>
      </c>
      <c r="K65" s="20">
        <v>0.587</v>
      </c>
    </row>
    <row r="66">
      <c r="A66" s="3" t="s">
        <v>89</v>
      </c>
      <c r="B66" s="14" t="s">
        <v>90</v>
      </c>
      <c r="C66" s="15">
        <v>13.14</v>
      </c>
      <c r="D66" s="3">
        <v>5</v>
      </c>
      <c r="E66" s="19">
        <v>65.7</v>
      </c>
      <c r="F66" s="16">
        <v>35</v>
      </c>
      <c r="G66" s="16">
        <v>175</v>
      </c>
      <c r="H66" s="16">
        <v>14.9544</v>
      </c>
      <c r="I66" s="16">
        <v>164.5</v>
      </c>
      <c r="J66" s="20">
        <v>0.4393</v>
      </c>
      <c r="K66" s="20">
        <v>0.5607</v>
      </c>
    </row>
    <row r="67">
      <c r="A67" s="3" t="s">
        <v>91</v>
      </c>
      <c r="B67" s="14" t="s">
        <v>92</v>
      </c>
      <c r="C67" s="15">
        <v>2.24</v>
      </c>
      <c r="D67" s="3">
        <v>27</v>
      </c>
      <c r="E67" s="19">
        <v>60.480000000000004</v>
      </c>
      <c r="F67" s="16">
        <v>10</v>
      </c>
      <c r="G67" s="16">
        <v>270</v>
      </c>
      <c r="H67" s="16">
        <v>18.8163</v>
      </c>
      <c r="I67" s="16">
        <v>207</v>
      </c>
      <c r="J67" s="20">
        <v>0.3214</v>
      </c>
      <c r="K67" s="20">
        <v>0.6786</v>
      </c>
    </row>
    <row r="68">
      <c r="A68" s="3" t="s">
        <v>91</v>
      </c>
      <c r="B68" s="14" t="s">
        <v>22</v>
      </c>
      <c r="C68" s="15">
        <v>0</v>
      </c>
      <c r="D68" s="3">
        <v>144</v>
      </c>
      <c r="E68" s="19">
        <v>0</v>
      </c>
      <c r="F68" s="16">
        <v>10</v>
      </c>
      <c r="G68" s="16">
        <v>1440</v>
      </c>
      <c r="H68" s="16">
        <v>130.9002</v>
      </c>
      <c r="I68" s="16">
        <v>1440</v>
      </c>
      <c r="J68" s="28" t="s">
        <v>20</v>
      </c>
      <c r="K68" s="28" t="s">
        <v>20</v>
      </c>
    </row>
    <row r="69">
      <c r="A69" s="3" t="s">
        <v>93</v>
      </c>
      <c r="B69" s="14" t="s">
        <v>94</v>
      </c>
      <c r="C69" s="15">
        <v>6.09</v>
      </c>
      <c r="D69" s="3">
        <v>30</v>
      </c>
      <c r="E69" s="19">
        <v>182.7</v>
      </c>
      <c r="F69" s="16">
        <v>23.066666666666666</v>
      </c>
      <c r="G69" s="16">
        <v>692</v>
      </c>
      <c r="H69" s="16">
        <v>51.6452</v>
      </c>
      <c r="I69" s="16">
        <v>568.1</v>
      </c>
      <c r="J69" s="20">
        <v>0.3538</v>
      </c>
      <c r="K69" s="20">
        <v>0.6462</v>
      </c>
    </row>
    <row r="70">
      <c r="A70" s="3" t="s">
        <v>93</v>
      </c>
      <c r="B70" s="14" t="s">
        <v>22</v>
      </c>
      <c r="C70" s="15">
        <v>0</v>
      </c>
      <c r="D70" s="3">
        <v>148</v>
      </c>
      <c r="E70" s="19">
        <v>0</v>
      </c>
      <c r="F70" s="16">
        <v>23</v>
      </c>
      <c r="G70" s="16">
        <v>3404</v>
      </c>
      <c r="H70" s="16">
        <v>309.4532</v>
      </c>
      <c r="I70" s="16">
        <v>3404</v>
      </c>
      <c r="J70" s="28" t="s">
        <v>20</v>
      </c>
      <c r="K70" s="28" t="s">
        <v>20</v>
      </c>
    </row>
    <row r="71">
      <c r="A71" s="3" t="s">
        <v>95</v>
      </c>
      <c r="B71" s="14" t="s">
        <v>96</v>
      </c>
      <c r="C71" s="15">
        <v>4.32</v>
      </c>
      <c r="D71" s="3">
        <v>0</v>
      </c>
      <c r="E71" s="19">
        <v>0</v>
      </c>
      <c r="F71" s="16">
        <v>0</v>
      </c>
      <c r="G71" s="16">
        <v>0</v>
      </c>
      <c r="H71" s="16">
        <v>0</v>
      </c>
      <c r="I71" s="16">
        <v>0</v>
      </c>
      <c r="J71" s="28" t="s">
        <v>20</v>
      </c>
      <c r="K71" s="28" t="s">
        <v>20</v>
      </c>
    </row>
    <row r="72">
      <c r="A72" s="3" t="s">
        <v>97</v>
      </c>
      <c r="B72" s="14" t="s">
        <v>98</v>
      </c>
      <c r="C72" s="15">
        <v>3.37</v>
      </c>
      <c r="D72" s="3">
        <v>0</v>
      </c>
      <c r="E72" s="19">
        <v>0</v>
      </c>
      <c r="F72" s="16">
        <v>0</v>
      </c>
      <c r="G72" s="16">
        <v>0</v>
      </c>
      <c r="H72" s="16">
        <v>0</v>
      </c>
      <c r="I72" s="16">
        <v>0</v>
      </c>
      <c r="J72" s="28" t="s">
        <v>20</v>
      </c>
      <c r="K72" s="28" t="s">
        <v>20</v>
      </c>
    </row>
    <row r="73">
      <c r="A73" s="3" t="s">
        <v>99</v>
      </c>
      <c r="B73" s="14" t="s">
        <v>100</v>
      </c>
      <c r="C73" s="15">
        <v>1.94</v>
      </c>
      <c r="D73" s="3">
        <v>0</v>
      </c>
      <c r="E73" s="19">
        <v>0</v>
      </c>
      <c r="F73" s="16">
        <v>0</v>
      </c>
      <c r="G73" s="16">
        <v>0</v>
      </c>
      <c r="H73" s="16">
        <v>0</v>
      </c>
      <c r="I73" s="16">
        <v>0</v>
      </c>
      <c r="J73" s="28" t="s">
        <v>20</v>
      </c>
      <c r="K73" s="28" t="s">
        <v>20</v>
      </c>
    </row>
    <row r="74">
      <c r="A74" s="3" t="s">
        <v>101</v>
      </c>
      <c r="B74" s="14" t="s">
        <v>22</v>
      </c>
      <c r="C74" s="15">
        <v>0</v>
      </c>
      <c r="D74" s="3">
        <v>0</v>
      </c>
      <c r="E74" s="19">
        <v>0</v>
      </c>
      <c r="F74" s="16">
        <v>0</v>
      </c>
      <c r="G74" s="16">
        <v>0</v>
      </c>
      <c r="H74" s="16">
        <v>0</v>
      </c>
      <c r="I74" s="16">
        <v>0</v>
      </c>
      <c r="J74" s="28" t="s">
        <v>20</v>
      </c>
      <c r="K74" s="28" t="s">
        <v>20</v>
      </c>
    </row>
    <row r="75">
      <c r="A75" s="3" t="s">
        <v>102</v>
      </c>
      <c r="B75" s="14" t="s">
        <v>103</v>
      </c>
      <c r="C75" s="15">
        <v>3.38</v>
      </c>
      <c r="D75" s="3">
        <v>67</v>
      </c>
      <c r="E75" s="19">
        <v>226.45999999999998</v>
      </c>
      <c r="F75" s="16">
        <v>14</v>
      </c>
      <c r="G75" s="16">
        <v>938</v>
      </c>
      <c r="H75" s="16">
        <v>71.0167</v>
      </c>
      <c r="I75" s="16">
        <v>781.2</v>
      </c>
      <c r="J75" s="20">
        <v>0.3189</v>
      </c>
      <c r="K75" s="20">
        <v>0.6811</v>
      </c>
    </row>
    <row r="76">
      <c r="A76" s="3" t="s">
        <v>102</v>
      </c>
      <c r="B76" s="14" t="s">
        <v>22</v>
      </c>
      <c r="C76" s="15">
        <v>0</v>
      </c>
      <c r="D76" s="3">
        <v>276</v>
      </c>
      <c r="E76" s="19">
        <v>0</v>
      </c>
      <c r="F76" s="16">
        <v>14</v>
      </c>
      <c r="G76" s="16">
        <v>3864</v>
      </c>
      <c r="H76" s="16">
        <v>351.2652</v>
      </c>
      <c r="I76" s="16">
        <v>3864</v>
      </c>
      <c r="J76" s="28" t="s">
        <v>20</v>
      </c>
      <c r="K76" s="28" t="s">
        <v>20</v>
      </c>
    </row>
    <row r="77">
      <c r="A77" s="3" t="s">
        <v>104</v>
      </c>
      <c r="B77" s="14" t="s">
        <v>22</v>
      </c>
      <c r="C77" s="15">
        <v>0</v>
      </c>
      <c r="D77" s="3">
        <v>6</v>
      </c>
      <c r="E77" s="19">
        <v>0</v>
      </c>
      <c r="F77" s="16">
        <v>5</v>
      </c>
      <c r="G77" s="16">
        <v>30</v>
      </c>
      <c r="H77" s="16">
        <v>2.727</v>
      </c>
      <c r="I77" s="16">
        <v>30</v>
      </c>
      <c r="J77" s="28" t="s">
        <v>20</v>
      </c>
      <c r="K77" s="28" t="s">
        <v>20</v>
      </c>
    </row>
    <row r="78">
      <c r="A78" s="3" t="s">
        <v>104</v>
      </c>
      <c r="B78" s="14" t="s">
        <v>105</v>
      </c>
      <c r="C78" s="15">
        <v>0.79</v>
      </c>
      <c r="D78" s="3">
        <v>1</v>
      </c>
      <c r="E78" s="19">
        <v>0.79</v>
      </c>
      <c r="F78" s="16">
        <v>5</v>
      </c>
      <c r="G78" s="16">
        <v>5</v>
      </c>
      <c r="H78" s="16">
        <v>0.3181</v>
      </c>
      <c r="I78" s="16">
        <v>3.5</v>
      </c>
      <c r="J78" s="20">
        <v>0.2483</v>
      </c>
      <c r="K78" s="20">
        <v>0.7517</v>
      </c>
    </row>
    <row r="79">
      <c r="A79" s="3" t="s">
        <v>106</v>
      </c>
      <c r="B79" s="14" t="s">
        <v>107</v>
      </c>
      <c r="C79" s="15">
        <v>5.09</v>
      </c>
      <c r="D79" s="3">
        <v>19</v>
      </c>
      <c r="E79" s="19">
        <v>96.71</v>
      </c>
      <c r="F79" s="16">
        <v>24</v>
      </c>
      <c r="G79" s="16">
        <v>456</v>
      </c>
      <c r="H79" s="16">
        <v>30.7632</v>
      </c>
      <c r="I79" s="16">
        <v>338.4</v>
      </c>
      <c r="J79" s="20">
        <v>0.3144</v>
      </c>
      <c r="K79" s="20">
        <v>0.6856</v>
      </c>
    </row>
    <row r="80">
      <c r="A80" s="3" t="s">
        <v>106</v>
      </c>
      <c r="B80" s="14" t="s">
        <v>22</v>
      </c>
      <c r="C80" s="15">
        <v>0</v>
      </c>
      <c r="D80" s="3">
        <v>60</v>
      </c>
      <c r="E80" s="19">
        <v>0</v>
      </c>
      <c r="F80" s="16">
        <v>24</v>
      </c>
      <c r="G80" s="16">
        <v>1440</v>
      </c>
      <c r="H80" s="16">
        <v>130.908</v>
      </c>
      <c r="I80" s="16">
        <v>1440</v>
      </c>
      <c r="J80" s="28" t="s">
        <v>20</v>
      </c>
      <c r="K80" s="28" t="s">
        <v>20</v>
      </c>
    </row>
    <row r="81">
      <c r="A81" s="3" t="s">
        <v>108</v>
      </c>
      <c r="B81" s="14" t="s">
        <v>109</v>
      </c>
      <c r="C81" s="15">
        <v>4.4</v>
      </c>
      <c r="D81" s="3">
        <v>39</v>
      </c>
      <c r="E81" s="19">
        <v>171.60000000000002</v>
      </c>
      <c r="F81" s="16">
        <v>17</v>
      </c>
      <c r="G81" s="16">
        <v>663</v>
      </c>
      <c r="H81" s="16">
        <v>52.2346</v>
      </c>
      <c r="I81" s="16">
        <v>574.6</v>
      </c>
      <c r="J81" s="20">
        <v>0.3285</v>
      </c>
      <c r="K81" s="20">
        <v>0.6715</v>
      </c>
    </row>
    <row r="82">
      <c r="A82" s="3" t="s">
        <v>108</v>
      </c>
      <c r="B82" s="14" t="s">
        <v>22</v>
      </c>
      <c r="C82" s="15">
        <v>0</v>
      </c>
      <c r="D82" s="3">
        <v>115</v>
      </c>
      <c r="E82" s="19">
        <v>0</v>
      </c>
      <c r="F82" s="16">
        <v>17</v>
      </c>
      <c r="G82" s="16">
        <v>1955</v>
      </c>
      <c r="H82" s="16">
        <v>177.722</v>
      </c>
      <c r="I82" s="16">
        <v>1955</v>
      </c>
      <c r="J82" s="28" t="s">
        <v>20</v>
      </c>
      <c r="K82" s="28" t="s">
        <v>20</v>
      </c>
    </row>
    <row r="83">
      <c r="A83" s="3" t="s">
        <v>110</v>
      </c>
      <c r="B83" s="14" t="s">
        <v>111</v>
      </c>
      <c r="C83" s="15">
        <v>3.6</v>
      </c>
      <c r="D83" s="3">
        <v>17</v>
      </c>
      <c r="E83" s="19">
        <v>61.2</v>
      </c>
      <c r="F83" s="16">
        <v>14</v>
      </c>
      <c r="G83" s="16">
        <v>238</v>
      </c>
      <c r="H83" s="16">
        <v>18.3269</v>
      </c>
      <c r="I83" s="16">
        <v>201.6</v>
      </c>
      <c r="J83" s="20">
        <v>0.3339</v>
      </c>
      <c r="K83" s="20">
        <v>0.6661</v>
      </c>
    </row>
    <row r="84">
      <c r="A84" s="3" t="s">
        <v>110</v>
      </c>
      <c r="B84" s="14" t="s">
        <v>22</v>
      </c>
      <c r="C84" s="15">
        <v>0</v>
      </c>
      <c r="D84" s="3">
        <v>63</v>
      </c>
      <c r="E84" s="19">
        <v>0</v>
      </c>
      <c r="F84" s="16">
        <v>14</v>
      </c>
      <c r="G84" s="16">
        <v>882</v>
      </c>
      <c r="H84" s="16">
        <v>80.1801</v>
      </c>
      <c r="I84" s="16">
        <v>882</v>
      </c>
      <c r="J84" s="28" t="s">
        <v>20</v>
      </c>
      <c r="K84" s="28" t="s">
        <v>20</v>
      </c>
    </row>
    <row r="85">
      <c r="A85" s="3" t="s">
        <v>112</v>
      </c>
      <c r="B85" s="14" t="s">
        <v>113</v>
      </c>
      <c r="C85" s="15">
        <v>57.9</v>
      </c>
      <c r="D85" s="3">
        <v>0</v>
      </c>
      <c r="E85" s="19">
        <v>0</v>
      </c>
      <c r="F85" s="16">
        <v>0</v>
      </c>
      <c r="G85" s="16">
        <v>0</v>
      </c>
      <c r="H85" s="16">
        <v>0</v>
      </c>
      <c r="I85" s="16">
        <v>0</v>
      </c>
      <c r="J85" s="28" t="s">
        <v>20</v>
      </c>
      <c r="K85" s="28" t="s">
        <v>20</v>
      </c>
    </row>
    <row r="86">
      <c r="A86" s="3" t="s">
        <v>114</v>
      </c>
      <c r="B86" s="14" t="s">
        <v>115</v>
      </c>
      <c r="C86" s="15">
        <v>3.6</v>
      </c>
      <c r="D86" s="3">
        <v>11</v>
      </c>
      <c r="E86" s="19">
        <v>39.6</v>
      </c>
      <c r="F86" s="16">
        <v>24</v>
      </c>
      <c r="G86" s="16">
        <v>264</v>
      </c>
      <c r="H86" s="16">
        <v>15.2726</v>
      </c>
      <c r="I86" s="16">
        <v>168</v>
      </c>
      <c r="J86" s="20">
        <v>0.2593</v>
      </c>
      <c r="K86" s="20">
        <v>0.7407</v>
      </c>
    </row>
    <row r="87">
      <c r="A87" s="3" t="s">
        <v>114</v>
      </c>
      <c r="B87" s="14" t="s">
        <v>22</v>
      </c>
      <c r="C87" s="15">
        <v>0</v>
      </c>
      <c r="D87" s="3">
        <v>20</v>
      </c>
      <c r="E87" s="19">
        <v>0</v>
      </c>
      <c r="F87" s="16">
        <v>24</v>
      </c>
      <c r="G87" s="16">
        <v>480</v>
      </c>
      <c r="H87" s="16">
        <v>43.636</v>
      </c>
      <c r="I87" s="16">
        <v>480</v>
      </c>
      <c r="J87" s="28" t="s">
        <v>20</v>
      </c>
      <c r="K87" s="28" t="s">
        <v>20</v>
      </c>
    </row>
    <row r="88">
      <c r="A88" s="3" t="s">
        <v>116</v>
      </c>
      <c r="B88" s="14" t="s">
        <v>22</v>
      </c>
      <c r="C88" s="15">
        <v>0</v>
      </c>
      <c r="D88" s="3">
        <v>3</v>
      </c>
      <c r="E88" s="19">
        <v>0</v>
      </c>
      <c r="F88" s="16">
        <v>0</v>
      </c>
      <c r="G88" s="16">
        <v>0</v>
      </c>
      <c r="H88" s="16">
        <v>0</v>
      </c>
      <c r="I88" s="16">
        <v>0</v>
      </c>
      <c r="J88" s="28" t="s">
        <v>20</v>
      </c>
      <c r="K88" s="28" t="s">
        <v>20</v>
      </c>
    </row>
    <row r="89">
      <c r="A89" s="3" t="s">
        <v>116</v>
      </c>
      <c r="B89" s="14" t="s">
        <v>22</v>
      </c>
      <c r="C89" s="15">
        <v>0</v>
      </c>
      <c r="D89" s="3">
        <v>8</v>
      </c>
      <c r="E89" s="19">
        <v>0</v>
      </c>
      <c r="F89" s="16">
        <v>0</v>
      </c>
      <c r="G89" s="16">
        <v>0</v>
      </c>
      <c r="H89" s="16">
        <v>0</v>
      </c>
      <c r="I89" s="16">
        <v>0</v>
      </c>
      <c r="J89" s="28" t="s">
        <v>20</v>
      </c>
      <c r="K89" s="28" t="s">
        <v>20</v>
      </c>
    </row>
    <row r="90">
      <c r="A90" s="3" t="s">
        <v>117</v>
      </c>
      <c r="B90" s="14" t="s">
        <v>22</v>
      </c>
      <c r="C90" s="15">
        <v>0</v>
      </c>
      <c r="D90" s="3">
        <v>11</v>
      </c>
      <c r="E90" s="19">
        <v>0</v>
      </c>
      <c r="F90" s="16">
        <v>0</v>
      </c>
      <c r="G90" s="16">
        <v>0</v>
      </c>
      <c r="H90" s="16">
        <v>0</v>
      </c>
      <c r="I90" s="16">
        <v>0</v>
      </c>
      <c r="J90" s="28" t="s">
        <v>20</v>
      </c>
      <c r="K90" s="28" t="s">
        <v>20</v>
      </c>
    </row>
    <row r="91">
      <c r="A91" s="3" t="s">
        <v>117</v>
      </c>
      <c r="B91" s="14" t="s">
        <v>22</v>
      </c>
      <c r="C91" s="15">
        <v>0</v>
      </c>
      <c r="D91" s="3">
        <v>36</v>
      </c>
      <c r="E91" s="19">
        <v>0</v>
      </c>
      <c r="F91" s="16">
        <v>0</v>
      </c>
      <c r="G91" s="16">
        <v>0</v>
      </c>
      <c r="H91" s="16">
        <v>0</v>
      </c>
      <c r="I91" s="16">
        <v>0</v>
      </c>
      <c r="J91" s="28" t="s">
        <v>20</v>
      </c>
      <c r="K91" s="28" t="s">
        <v>20</v>
      </c>
    </row>
    <row r="92">
      <c r="A92" s="3" t="s">
        <v>118</v>
      </c>
      <c r="B92" s="14" t="s">
        <v>22</v>
      </c>
      <c r="C92" s="15">
        <v>0</v>
      </c>
      <c r="D92" s="3">
        <v>15</v>
      </c>
      <c r="E92" s="19">
        <v>0</v>
      </c>
      <c r="F92" s="16">
        <v>0</v>
      </c>
      <c r="G92" s="16">
        <v>0</v>
      </c>
      <c r="H92" s="16">
        <v>0</v>
      </c>
      <c r="I92" s="16">
        <v>0</v>
      </c>
      <c r="J92" s="28" t="s">
        <v>20</v>
      </c>
      <c r="K92" s="28" t="s">
        <v>20</v>
      </c>
    </row>
    <row r="93">
      <c r="A93" s="3" t="s">
        <v>118</v>
      </c>
      <c r="B93" s="14" t="s">
        <v>22</v>
      </c>
      <c r="C93" s="15">
        <v>0</v>
      </c>
      <c r="D93" s="3">
        <v>5</v>
      </c>
      <c r="E93" s="19">
        <v>0</v>
      </c>
      <c r="F93" s="16">
        <v>0</v>
      </c>
      <c r="G93" s="16">
        <v>0</v>
      </c>
      <c r="H93" s="16">
        <v>0</v>
      </c>
      <c r="I93" s="16">
        <v>0</v>
      </c>
      <c r="J93" s="28" t="s">
        <v>20</v>
      </c>
      <c r="K93" s="28" t="s">
        <v>20</v>
      </c>
    </row>
    <row r="94">
      <c r="A94" s="3"/>
      <c r="B94" s="14"/>
      <c r="C94" s="15"/>
      <c r="D94" s="3"/>
      <c r="E94" s="19"/>
      <c r="F94" s="16"/>
      <c r="G94" s="16"/>
      <c r="H94" s="16"/>
      <c r="I94" s="16"/>
      <c r="J94" s="20"/>
      <c r="K94" s="20"/>
    </row>
    <row r="95" ht="15.75" s="3" customFormat="1">
      <c r="A95" s="22" t="s">
        <v>119</v>
      </c>
      <c r="B95" s="23"/>
      <c r="C95" s="27"/>
      <c r="D95" s="27"/>
      <c r="E95" s="24">
        <f>SUM(E7:E94)</f>
        <v>0</v>
      </c>
      <c r="F95" s="22"/>
      <c r="G95" s="22"/>
      <c r="H95" s="22"/>
      <c r="I95" s="24">
        <f>SUM(I7:I94)</f>
        <v>0</v>
      </c>
      <c r="J95" s="25" t="e">
        <f>E95/(I95/1.1)</f>
        <v>#DIV/0!</v>
      </c>
      <c r="K95" s="26" t="e">
        <f>1-J95</f>
        <v>#DIV/0!</v>
      </c>
    </row>
  </sheetData>
  <sortState ref="A7:K34">
    <sortCondition ref="C7:C34"/>
  </sortState>
  <mergeCells>
    <mergeCell ref="C95:D95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