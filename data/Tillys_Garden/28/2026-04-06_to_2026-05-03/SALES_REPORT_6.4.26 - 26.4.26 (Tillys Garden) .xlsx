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<sst xmlns="http://schemas.openxmlformats.org/spreadsheetml/2006/main" count="103" uniqueCount="103">
  <si>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SALES DETAIL BREAKDOWN</t>
  </si>
  <si>
    <t>Venue:</t>
  </si>
  <si>
    <t>Tilly's Garden</t>
  </si>
  <si>
    <t>From Date:</t>
  </si>
  <si>
    <t>06/04/2026</t>
  </si>
  <si>
    <t>To Date:</t>
  </si>
  <si>
    <t>26/04/2026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</si>
  <si>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</si>
  <si>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</si>
  <si>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</si>
  <si>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</si>
  <si>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</si>
  <si>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</si>
  <si>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</si>
  <si>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</si>
  <si>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</si>
  <si>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</si>
  <si>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</si>
  <si>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BABY SQUID</t>
  </si>
  <si>
    <t>Hot Pineapple Squid (Tillys) - Dish</t>
  </si>
  <si>
    <t>BEEF SKEWERS</t>
  </si>
  <si>
    <t>Chinese Beef Skewers, 2 (Tillys) - Dish</t>
  </si>
  <si>
    <t>BEEF SLIDER PLATTER FUNCTION</t>
  </si>
  <si>
    <t>Korean Cheeseburger Platter (Tillys) - Platter</t>
  </si>
  <si>
    <t>BEEF TATAKI</t>
  </si>
  <si>
    <t>Tri Tip Tataki (Tillys) - Dish</t>
  </si>
  <si>
    <t>CHARCUTERIE &amp; CHEESE BOARD</t>
  </si>
  <si>
    <t>Charcuterie &amp; Cheese Board (Tillys) - Platter</t>
  </si>
  <si>
    <t xml:space="preserve">CHICKEN BAO </t>
  </si>
  <si>
    <t>Fried Chicken Bao, 1 (Tillys) - Dish</t>
  </si>
  <si>
    <t>CHICKPEA FRITTERS</t>
  </si>
  <si>
    <t>Chickpea Fritters (Tillys) - Dish</t>
  </si>
  <si>
    <t>CORN &amp; COCONUT TART</t>
  </si>
  <si>
    <t xml:space="preserve">Coconut &amp; Corn Catalan (Tillys) - Dish </t>
  </si>
  <si>
    <t>Crab &amp; Mackerel Croquettes</t>
  </si>
  <si>
    <t>None</t>
  </si>
  <si>
    <t>⚠️</t>
  </si>
  <si>
    <t>CUCUMBER SALAD</t>
  </si>
  <si>
    <t>Cucumber Salad (Tillys) - Dish</t>
  </si>
  <si>
    <t>DUMPLING PLATTER FUNCTION</t>
  </si>
  <si>
    <t>Dumpling Lover (Tillys) - Platter</t>
  </si>
  <si>
    <t xml:space="preserve">Edamame </t>
  </si>
  <si>
    <t>EXTRA CHILLI JAM AIOLI</t>
  </si>
  <si>
    <t xml:space="preserve">Add Chilli Jam Aioli (Tillys) - Modifier </t>
  </si>
  <si>
    <t>EXTRA FURIKAKE MAYO</t>
  </si>
  <si>
    <t xml:space="preserve">Extra Furikake Mayo (Tillys) - Modifier </t>
  </si>
  <si>
    <t>EXTRA JAP CURRY SAUCE</t>
  </si>
  <si>
    <t xml:space="preserve">Extra Curry Sauce (Tillys) - Modifier </t>
  </si>
  <si>
    <t>EXTRA KEWPIE</t>
  </si>
  <si>
    <t xml:space="preserve">Add Kewpie (Tillys) - Modifier </t>
  </si>
  <si>
    <t>EXTRA TOMATO SAUCE</t>
  </si>
  <si>
    <t>Add Tomato Sauce (TMG) - Modifier</t>
  </si>
  <si>
    <t>FAILED ORDER CHECK QR</t>
  </si>
  <si>
    <t>FRIED PORK &amp; CHIVE DPLS (5) (NF, DF)</t>
  </si>
  <si>
    <t>Pork and Chive Dumplings (Tillys) - Dish</t>
  </si>
  <si>
    <t>Hoisin Pork &amp; Beef Spring Roll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</si>
  <si>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</si>
  <si>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</si>
  <si>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</si>
  <si>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</si>
  <si>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</si>
  <si>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</si>
  <si>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</si>
  <si>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</si>
  <si>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</si>
  <si>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</si>
  <si>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</si>
  <si>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</si>
  <si>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</si>
  <si>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</si>
  <si>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</si>
  <si>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OYSTER (12)</t>
  </si>
  <si>
    <t>Oysters - Dressed (12)(Tillys) - Dish</t>
  </si>
  <si>
    <t>OYSTER (3)</t>
  </si>
  <si>
    <t>Oysters - Cooked (3)(Tillys) - Dish</t>
  </si>
  <si>
    <t>OYSTER (6)</t>
  </si>
  <si>
    <t>Oysters - Cooked (6)(Tillys) - Dish</t>
  </si>
  <si>
    <t>PORK BELLY BAO</t>
  </si>
  <si>
    <t>Char Sui Pork Belly Bao, 1 (Tillys) - Dish</t>
  </si>
  <si>
    <t>PORK BELLY BITES</t>
  </si>
  <si>
    <t>Char Sui Pork Belly Bites (Tillys) - Dish</t>
  </si>
  <si>
    <t>SHOESTRING FRIES (GF, NF &amp; V)</t>
  </si>
  <si>
    <t>Ramen Fries (Tillys) - Dish</t>
  </si>
  <si>
    <t>SIDE FRESH CHILLI</t>
  </si>
  <si>
    <t>SIDE GREEN CHILLI SAMBAL</t>
  </si>
  <si>
    <t xml:space="preserve">Extra Green Chilli Sambal (Tillys) - Modifier </t>
  </si>
  <si>
    <t>SIDE JASMINE RICE )(NF, VGN,V,GF,DF)</t>
  </si>
  <si>
    <t>Steamed Jasmine Rice (Tillys) - Dish</t>
  </si>
  <si>
    <t>SIDE PEANUT SAUCE</t>
  </si>
  <si>
    <t>SOFT SHELL CRAB</t>
  </si>
  <si>
    <t>Soft Shell Crab 25 (Tillys) - Dish</t>
  </si>
  <si>
    <t>Spiced Lamb Kofta</t>
  </si>
  <si>
    <t>STEAMED SCALLOP &amp; PRAWN DPLS (3) (NF, DF)</t>
  </si>
  <si>
    <t>Scallop and Prawn Dumplings (Tillys) - Dish</t>
  </si>
  <si>
    <t>STEAMED VEGETARIAN DPLS (3) (NFO,VGN,V,DF)</t>
  </si>
  <si>
    <t>Vegetarian Dumplings (Tillys) - Dish</t>
  </si>
  <si>
    <t>SWAP TO REGULAR SALT</t>
  </si>
  <si>
    <t>TUNA CRUDO</t>
  </si>
  <si>
    <t>Miso Tuna, Soy, Cucumber and Coriander (Tillys) - Dish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</si>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</sst>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5.02</v>
      </c>
      <c r="D7" s="3">
        <v>66</v>
      </c>
      <c r="E7" s="19">
        <v>331.32</v>
      </c>
      <c r="F7" s="16">
        <v>21</v>
      </c>
      <c r="G7" s="16">
        <v>1386</v>
      </c>
      <c r="H7" s="16">
        <v>127.7137</v>
      </c>
      <c r="I7" s="16">
        <v>1403.4528</v>
      </c>
      <c r="J7" s="20">
        <v>0.2597</v>
      </c>
      <c r="K7" s="20">
        <v>0.7403</v>
      </c>
    </row>
    <row r="8" s="3" customFormat="1">
      <c r="A8" s="3" t="s">
        <v>20</v>
      </c>
      <c r="B8" s="14" t="s">
        <v>21</v>
      </c>
      <c r="C8" s="15">
        <v>3.69</v>
      </c>
      <c r="D8" s="3">
        <v>136</v>
      </c>
      <c r="E8" s="19">
        <v>501.84</v>
      </c>
      <c r="F8" s="16">
        <v>18</v>
      </c>
      <c r="G8" s="16">
        <v>2401.2</v>
      </c>
      <c r="H8" s="16">
        <v>213.9593</v>
      </c>
      <c r="I8" s="16">
        <v>2351.2036</v>
      </c>
      <c r="J8" s="20">
        <v>0.2348</v>
      </c>
      <c r="K8" s="20">
        <v>0.7652</v>
      </c>
    </row>
    <row r="9" s="3" customFormat="1">
      <c r="A9" s="3" t="s">
        <v>22</v>
      </c>
      <c r="B9" s="14" t="s">
        <v>23</v>
      </c>
      <c r="C9" s="15">
        <v>43.53</v>
      </c>
      <c r="D9" s="3">
        <v>1</v>
      </c>
      <c r="E9" s="19">
        <v>43.53</v>
      </c>
      <c r="F9" s="16">
        <v>180</v>
      </c>
      <c r="G9" s="16">
        <v>180</v>
      </c>
      <c r="H9" s="16">
        <v>16.38</v>
      </c>
      <c r="I9" s="16">
        <v>180</v>
      </c>
      <c r="J9" s="20">
        <v>0.266</v>
      </c>
      <c r="K9" s="20">
        <v>0.734</v>
      </c>
    </row>
    <row r="10" s="3" customFormat="1">
      <c r="A10" s="3" t="s">
        <v>24</v>
      </c>
      <c r="B10" s="14" t="s">
        <v>25</v>
      </c>
      <c r="C10" s="15">
        <v>4.32</v>
      </c>
      <c r="D10" s="3">
        <v>42</v>
      </c>
      <c r="E10" s="19">
        <v>181.44</v>
      </c>
      <c r="F10" s="16">
        <v>24</v>
      </c>
      <c r="G10" s="16">
        <v>1000.8</v>
      </c>
      <c r="H10" s="16">
        <v>91.328</v>
      </c>
      <c r="I10" s="16">
        <v>1003.6047</v>
      </c>
      <c r="J10" s="20">
        <v>0.1989</v>
      </c>
      <c r="K10" s="20">
        <v>0.8011</v>
      </c>
    </row>
    <row r="11" s="3" customFormat="1">
      <c r="A11" s="3" t="s">
        <v>26</v>
      </c>
      <c r="B11" s="14" t="s">
        <v>27</v>
      </c>
      <c r="C11" s="15">
        <v>69.94</v>
      </c>
      <c r="D11" s="3">
        <v>1</v>
      </c>
      <c r="E11" s="19">
        <v>69.94</v>
      </c>
      <c r="F11" s="16">
        <v>240</v>
      </c>
      <c r="G11" s="16">
        <v>240</v>
      </c>
      <c r="H11" s="16">
        <v>21.84</v>
      </c>
      <c r="I11" s="16">
        <v>240</v>
      </c>
      <c r="J11" s="20">
        <v>0.3206</v>
      </c>
      <c r="K11" s="20">
        <v>0.6794</v>
      </c>
    </row>
    <row r="12" s="3" customFormat="1">
      <c r="A12" s="3" t="s">
        <v>28</v>
      </c>
      <c r="B12" s="14" t="s">
        <v>29</v>
      </c>
      <c r="C12" s="15">
        <v>1.88</v>
      </c>
      <c r="D12" s="3">
        <v>156</v>
      </c>
      <c r="E12" s="19">
        <v>293.28</v>
      </c>
      <c r="F12" s="16">
        <v>10</v>
      </c>
      <c r="G12" s="16">
        <v>1530</v>
      </c>
      <c r="H12" s="16">
        <v>131.9484</v>
      </c>
      <c r="I12" s="16">
        <v>1449.983</v>
      </c>
      <c r="J12" s="20">
        <v>0.2225</v>
      </c>
      <c r="K12" s="20">
        <v>0.7775</v>
      </c>
    </row>
    <row r="13" s="3" customFormat="1">
      <c r="A13" s="3" t="s">
        <v>30</v>
      </c>
      <c r="B13" s="14" t="s">
        <v>31</v>
      </c>
      <c r="C13" s="15">
        <v>2.45</v>
      </c>
      <c r="D13" s="3">
        <v>31</v>
      </c>
      <c r="E13" s="19">
        <v>75.95</v>
      </c>
      <c r="F13" s="16">
        <v>16</v>
      </c>
      <c r="G13" s="16">
        <v>496</v>
      </c>
      <c r="H13" s="16">
        <v>45.3544</v>
      </c>
      <c r="I13" s="16">
        <v>498.4</v>
      </c>
      <c r="J13" s="20">
        <v>0.1676</v>
      </c>
      <c r="K13" s="20">
        <v>0.8324</v>
      </c>
    </row>
    <row r="14" s="3" customFormat="1">
      <c r="A14" s="3" t="s">
        <v>32</v>
      </c>
      <c r="B14" s="14" t="s">
        <v>33</v>
      </c>
      <c r="C14" s="15">
        <v>2.27</v>
      </c>
      <c r="D14" s="3">
        <v>19</v>
      </c>
      <c r="E14" s="19">
        <v>43.13</v>
      </c>
      <c r="F14" s="16">
        <v>15</v>
      </c>
      <c r="G14" s="16">
        <v>285</v>
      </c>
      <c r="H14" s="16">
        <v>23.4097</v>
      </c>
      <c r="I14" s="16">
        <v>257.25</v>
      </c>
      <c r="J14" s="20">
        <v>0.1844</v>
      </c>
      <c r="K14" s="20">
        <v>0.8156</v>
      </c>
    </row>
    <row r="15" s="3" customFormat="1">
      <c r="A15" s="3" t="s">
        <v>34</v>
      </c>
      <c r="B15" s="14" t="s">
        <v>35</v>
      </c>
      <c r="C15" s="15">
        <v>0</v>
      </c>
      <c r="D15" s="3">
        <v>29</v>
      </c>
      <c r="E15" s="19">
        <v>0</v>
      </c>
      <c r="F15" s="16">
        <v>18</v>
      </c>
      <c r="G15" s="16">
        <v>493.2</v>
      </c>
      <c r="H15" s="16">
        <v>46.6011</v>
      </c>
      <c r="I15" s="16">
        <v>512.1</v>
      </c>
      <c r="J15" s="28" t="s">
        <v>36</v>
      </c>
      <c r="K15" s="28" t="s">
        <v>36</v>
      </c>
    </row>
    <row r="16" s="3" customFormat="1">
      <c r="A16" s="3" t="s">
        <v>37</v>
      </c>
      <c r="B16" s="14" t="s">
        <v>38</v>
      </c>
      <c r="C16" s="15">
        <v>2.96</v>
      </c>
      <c r="D16" s="3">
        <v>39</v>
      </c>
      <c r="E16" s="19">
        <v>115.44</v>
      </c>
      <c r="F16" s="16">
        <v>15</v>
      </c>
      <c r="G16" s="16">
        <v>565.5</v>
      </c>
      <c r="H16" s="16">
        <v>51.5608</v>
      </c>
      <c r="I16" s="16">
        <v>566.6052</v>
      </c>
      <c r="J16" s="20">
        <v>0.2241</v>
      </c>
      <c r="K16" s="20">
        <v>0.7759</v>
      </c>
    </row>
    <row r="17" s="3" customFormat="1">
      <c r="A17" s="3" t="s">
        <v>39</v>
      </c>
      <c r="B17" s="14" t="s">
        <v>40</v>
      </c>
      <c r="C17" s="15">
        <v>47.76</v>
      </c>
      <c r="D17" s="3">
        <v>1</v>
      </c>
      <c r="E17" s="19">
        <v>47.76</v>
      </c>
      <c r="F17" s="16">
        <v>180</v>
      </c>
      <c r="G17" s="16">
        <v>180</v>
      </c>
      <c r="H17" s="16">
        <v>16.38</v>
      </c>
      <c r="I17" s="16">
        <v>180</v>
      </c>
      <c r="J17" s="20">
        <v>0.2919</v>
      </c>
      <c r="K17" s="20">
        <v>0.7081</v>
      </c>
    </row>
    <row r="18" s="3" customFormat="1">
      <c r="A18" s="3" t="s">
        <v>41</v>
      </c>
      <c r="B18" s="14" t="s">
        <v>35</v>
      </c>
      <c r="C18" s="15">
        <v>0</v>
      </c>
      <c r="D18" s="3">
        <v>17</v>
      </c>
      <c r="E18" s="19">
        <v>0</v>
      </c>
      <c r="F18" s="16">
        <v>8</v>
      </c>
      <c r="G18" s="16">
        <v>120</v>
      </c>
      <c r="H18" s="16">
        <v>10.9964</v>
      </c>
      <c r="I18" s="16">
        <v>120.8409</v>
      </c>
      <c r="J18" s="28" t="s">
        <v>36</v>
      </c>
      <c r="K18" s="28" t="s">
        <v>36</v>
      </c>
    </row>
    <row r="19" s="3" customFormat="1">
      <c r="A19" s="3" t="s">
        <v>42</v>
      </c>
      <c r="B19" s="14" t="s">
        <v>43</v>
      </c>
      <c r="C19" s="15">
        <v>0.72</v>
      </c>
      <c r="D19" s="3">
        <v>4</v>
      </c>
      <c r="E19" s="19">
        <v>2.88</v>
      </c>
      <c r="F19" s="16">
        <v>2</v>
      </c>
      <c r="G19" s="16">
        <v>8</v>
      </c>
      <c r="H19" s="16">
        <v>0.728</v>
      </c>
      <c r="I19" s="16">
        <v>8</v>
      </c>
      <c r="J19" s="20">
        <v>0.396</v>
      </c>
      <c r="K19" s="20">
        <v>0.604</v>
      </c>
    </row>
    <row r="20" s="3" customFormat="1">
      <c r="A20" s="3" t="s">
        <v>44</v>
      </c>
      <c r="B20" s="14" t="s">
        <v>45</v>
      </c>
      <c r="C20" s="15">
        <v>0.9</v>
      </c>
      <c r="D20" s="3">
        <v>2</v>
      </c>
      <c r="E20" s="19">
        <v>1.8</v>
      </c>
      <c r="F20" s="16">
        <v>2</v>
      </c>
      <c r="G20" s="16">
        <v>4</v>
      </c>
      <c r="H20" s="16">
        <v>0.364</v>
      </c>
      <c r="I20" s="16">
        <v>4</v>
      </c>
      <c r="J20" s="20">
        <v>0.495</v>
      </c>
      <c r="K20" s="20">
        <v>0.505</v>
      </c>
    </row>
    <row r="21" s="3" customFormat="1">
      <c r="A21" s="3" t="s">
        <v>46</v>
      </c>
      <c r="B21" s="14" t="s">
        <v>47</v>
      </c>
      <c r="C21" s="15">
        <v>0.15</v>
      </c>
      <c r="D21" s="3">
        <v>2</v>
      </c>
      <c r="E21" s="19">
        <v>0.3</v>
      </c>
      <c r="F21" s="16">
        <v>2</v>
      </c>
      <c r="G21" s="16">
        <v>0</v>
      </c>
      <c r="H21" s="16">
        <v>0</v>
      </c>
      <c r="I21" s="16">
        <v>0</v>
      </c>
      <c r="J21" s="28" t="s">
        <v>36</v>
      </c>
      <c r="K21" s="28" t="s">
        <v>36</v>
      </c>
    </row>
    <row r="22" s="3" customFormat="1">
      <c r="A22" s="3" t="s">
        <v>48</v>
      </c>
      <c r="B22" s="14" t="s">
        <v>49</v>
      </c>
      <c r="C22" s="15">
        <v>0</v>
      </c>
      <c r="D22" s="3">
        <v>3</v>
      </c>
      <c r="E22" s="19">
        <v>0</v>
      </c>
      <c r="F22" s="16">
        <v>2</v>
      </c>
      <c r="G22" s="16">
        <v>6</v>
      </c>
      <c r="H22" s="16">
        <v>0.546</v>
      </c>
      <c r="I22" s="16">
        <v>6</v>
      </c>
      <c r="J22" s="28" t="s">
        <v>36</v>
      </c>
      <c r="K22" s="28" t="s">
        <v>36</v>
      </c>
    </row>
    <row r="23" s="3" customFormat="1">
      <c r="A23" s="3" t="s">
        <v>50</v>
      </c>
      <c r="B23" s="14" t="s">
        <v>51</v>
      </c>
      <c r="C23" s="15">
        <v>0.15</v>
      </c>
      <c r="D23" s="3">
        <v>13</v>
      </c>
      <c r="E23" s="19">
        <v>1.95</v>
      </c>
      <c r="F23" s="16">
        <v>0.5</v>
      </c>
      <c r="G23" s="16">
        <v>6.5</v>
      </c>
      <c r="H23" s="16">
        <v>0.5983</v>
      </c>
      <c r="I23" s="16">
        <v>6.575</v>
      </c>
      <c r="J23" s="20">
        <v>0.3263</v>
      </c>
      <c r="K23" s="20">
        <v>0.6737</v>
      </c>
    </row>
    <row r="24" s="3" customFormat="1">
      <c r="A24" s="3" t="s">
        <v>52</v>
      </c>
      <c r="B24" s="14" t="s">
        <v>35</v>
      </c>
      <c r="C24" s="15">
        <v>0</v>
      </c>
      <c r="D24" s="3">
        <v>2</v>
      </c>
      <c r="E24" s="19">
        <v>0</v>
      </c>
      <c r="F24" s="16">
        <v>0</v>
      </c>
      <c r="G24" s="16">
        <v>0</v>
      </c>
      <c r="H24" s="16">
        <v>0</v>
      </c>
      <c r="I24" s="16">
        <v>0</v>
      </c>
      <c r="J24" s="28" t="s">
        <v>36</v>
      </c>
      <c r="K24" s="28" t="s">
        <v>36</v>
      </c>
    </row>
    <row r="25" s="3" customFormat="1">
      <c r="A25" s="3" t="s">
        <v>53</v>
      </c>
      <c r="B25" s="14" t="s">
        <v>54</v>
      </c>
      <c r="C25" s="15">
        <v>5.33</v>
      </c>
      <c r="D25" s="3">
        <v>153</v>
      </c>
      <c r="E25" s="19">
        <v>815.49</v>
      </c>
      <c r="F25" s="16">
        <v>17</v>
      </c>
      <c r="G25" s="16">
        <v>2499</v>
      </c>
      <c r="H25" s="16">
        <v>226.0129</v>
      </c>
      <c r="I25" s="16">
        <v>2483.6651</v>
      </c>
      <c r="J25" s="20">
        <v>0.3612</v>
      </c>
      <c r="K25" s="20">
        <v>0.6388</v>
      </c>
    </row>
    <row r="26" s="3" customFormat="1">
      <c r="A26" s="3" t="s">
        <v>55</v>
      </c>
      <c r="B26" s="14" t="s">
        <v>35</v>
      </c>
      <c r="C26" s="15">
        <v>0</v>
      </c>
      <c r="D26" s="3">
        <v>91</v>
      </c>
      <c r="E26" s="19">
        <v>0</v>
      </c>
      <c r="F26" s="16">
        <v>12</v>
      </c>
      <c r="G26" s="16">
        <v>1029.6</v>
      </c>
      <c r="H26" s="16">
        <v>95.0094</v>
      </c>
      <c r="I26" s="16">
        <v>1044.06</v>
      </c>
      <c r="J26" s="28" t="s">
        <v>36</v>
      </c>
      <c r="K26" s="28" t="s">
        <v>36</v>
      </c>
    </row>
    <row r="27" s="3" customFormat="1">
      <c r="A27" s="3" t="s">
        <v>56</v>
      </c>
      <c r="B27" s="14" t="s">
        <v>57</v>
      </c>
      <c r="C27" s="15">
        <v>5.27</v>
      </c>
      <c r="D27" s="3">
        <v>108</v>
      </c>
      <c r="E27" s="19">
        <v>569.16</v>
      </c>
      <c r="F27" s="16">
        <v>23</v>
      </c>
      <c r="G27" s="16">
        <v>2438</v>
      </c>
      <c r="H27" s="16">
        <v>220.3419</v>
      </c>
      <c r="I27" s="16">
        <v>2421.3484</v>
      </c>
      <c r="J27" s="20">
        <v>0.2586</v>
      </c>
      <c r="K27" s="20">
        <v>0.7414</v>
      </c>
    </row>
    <row r="28" s="3" customFormat="1">
      <c r="A28" s="3" t="s">
        <v>58</v>
      </c>
      <c r="B28" s="14" t="s">
        <v>59</v>
      </c>
      <c r="C28" s="15">
        <v>3.2</v>
      </c>
      <c r="D28" s="3">
        <v>13</v>
      </c>
      <c r="E28" s="19">
        <v>41.6</v>
      </c>
      <c r="F28" s="16">
        <v>15</v>
      </c>
      <c r="G28" s="16">
        <v>190.5</v>
      </c>
      <c r="H28" s="16">
        <v>17.7449</v>
      </c>
      <c r="I28" s="16">
        <v>195</v>
      </c>
      <c r="J28" s="20">
        <v>0.2347</v>
      </c>
      <c r="K28" s="20">
        <v>0.7653</v>
      </c>
    </row>
    <row r="29" s="3" customFormat="1">
      <c r="A29" s="3" t="s">
        <v>60</v>
      </c>
      <c r="B29" s="14" t="s">
        <v>61</v>
      </c>
      <c r="C29" s="15">
        <v>2.72</v>
      </c>
      <c r="D29" s="3">
        <v>12</v>
      </c>
      <c r="E29" s="19">
        <v>32.64</v>
      </c>
      <c r="F29" s="16">
        <v>15</v>
      </c>
      <c r="G29" s="16">
        <v>141</v>
      </c>
      <c r="H29" s="16">
        <v>11.6707</v>
      </c>
      <c r="I29" s="16">
        <v>128.25</v>
      </c>
      <c r="J29" s="20">
        <v>0.28</v>
      </c>
      <c r="K29" s="20">
        <v>0.72</v>
      </c>
    </row>
    <row r="30" s="3" customFormat="1">
      <c r="A30" s="3" t="s">
        <v>62</v>
      </c>
      <c r="B30" s="14" t="s">
        <v>63</v>
      </c>
      <c r="C30" s="15">
        <v>2.22</v>
      </c>
      <c r="D30" s="3">
        <v>93</v>
      </c>
      <c r="E30" s="19">
        <v>206.46</v>
      </c>
      <c r="F30" s="16">
        <v>16</v>
      </c>
      <c r="G30" s="16">
        <v>1467.2</v>
      </c>
      <c r="H30" s="16">
        <v>134.7061</v>
      </c>
      <c r="I30" s="16">
        <v>1480.288</v>
      </c>
      <c r="J30" s="20">
        <v>0.1534</v>
      </c>
      <c r="K30" s="20">
        <v>0.8466</v>
      </c>
    </row>
    <row r="31" s="3" customFormat="1">
      <c r="A31" s="3" t="s">
        <v>64</v>
      </c>
      <c r="B31" s="14" t="s">
        <v>65</v>
      </c>
      <c r="C31" s="15">
        <v>26.16</v>
      </c>
      <c r="D31" s="3">
        <v>9</v>
      </c>
      <c r="E31" s="19">
        <v>235.44</v>
      </c>
      <c r="F31" s="16">
        <v>0</v>
      </c>
      <c r="G31" s="16">
        <v>0</v>
      </c>
      <c r="H31" s="16">
        <v>0</v>
      </c>
      <c r="I31" s="16">
        <v>0</v>
      </c>
      <c r="J31" s="28" t="s">
        <v>36</v>
      </c>
      <c r="K31" s="28" t="s">
        <v>36</v>
      </c>
    </row>
    <row r="32" s="3" customFormat="1">
      <c r="A32" s="3" t="s">
        <v>66</v>
      </c>
      <c r="B32" s="14" t="s">
        <v>67</v>
      </c>
      <c r="C32" s="15">
        <v>1.79</v>
      </c>
      <c r="D32" s="3">
        <v>81</v>
      </c>
      <c r="E32" s="19">
        <v>144.99</v>
      </c>
      <c r="F32" s="16">
        <v>16</v>
      </c>
      <c r="G32" s="16">
        <v>1264</v>
      </c>
      <c r="H32" s="16">
        <v>115.8333</v>
      </c>
      <c r="I32" s="16">
        <v>1272.8938</v>
      </c>
      <c r="J32" s="20">
        <v>0.1253</v>
      </c>
      <c r="K32" s="20">
        <v>0.8747</v>
      </c>
    </row>
    <row r="33" s="3" customFormat="1">
      <c r="A33" s="3" t="s">
        <v>68</v>
      </c>
      <c r="B33" s="14" t="s">
        <v>69</v>
      </c>
      <c r="C33" s="15">
        <v>2.19</v>
      </c>
      <c r="D33" s="3">
        <v>18</v>
      </c>
      <c r="E33" s="19">
        <v>39.42</v>
      </c>
      <c r="F33" s="16">
        <v>10</v>
      </c>
      <c r="G33" s="16">
        <v>180</v>
      </c>
      <c r="H33" s="16">
        <v>15.301</v>
      </c>
      <c r="I33" s="16">
        <v>168.1428</v>
      </c>
      <c r="J33" s="20">
        <v>0.2579</v>
      </c>
      <c r="K33" s="20">
        <v>0.7421</v>
      </c>
    </row>
    <row r="34" s="3" customFormat="1">
      <c r="A34" s="3" t="s">
        <v>70</v>
      </c>
      <c r="B34" s="14" t="s">
        <v>35</v>
      </c>
      <c r="C34" s="15">
        <v>0</v>
      </c>
      <c r="D34" s="3">
        <v>14</v>
      </c>
      <c r="E34" s="19">
        <v>0</v>
      </c>
      <c r="F34" s="16">
        <v>0</v>
      </c>
      <c r="G34" s="16">
        <v>0</v>
      </c>
      <c r="H34" s="16">
        <v>0</v>
      </c>
      <c r="I34" s="16">
        <v>0</v>
      </c>
      <c r="J34" s="28" t="s">
        <v>36</v>
      </c>
      <c r="K34" s="28" t="s">
        <v>36</v>
      </c>
    </row>
    <row r="35">
      <c r="A35" s="3" t="s">
        <v>71</v>
      </c>
      <c r="B35" s="14" t="s">
        <v>72</v>
      </c>
      <c r="C35" s="15">
        <v>30.12</v>
      </c>
      <c r="D35" s="3">
        <v>5</v>
      </c>
      <c r="E35" s="19">
        <v>150.6</v>
      </c>
      <c r="F35" s="16">
        <v>70</v>
      </c>
      <c r="G35" s="16">
        <v>350</v>
      </c>
      <c r="H35" s="16">
        <v>33.761</v>
      </c>
      <c r="I35" s="16">
        <v>371</v>
      </c>
      <c r="J35" s="20">
        <v>0.4466</v>
      </c>
      <c r="K35" s="20">
        <v>0.5534</v>
      </c>
    </row>
    <row r="36">
      <c r="A36" s="3" t="s">
        <v>73</v>
      </c>
      <c r="B36" s="14" t="s">
        <v>74</v>
      </c>
      <c r="C36" s="15">
        <v>6.54</v>
      </c>
      <c r="D36" s="3">
        <v>17</v>
      </c>
      <c r="E36" s="19">
        <v>111.18</v>
      </c>
      <c r="F36" s="16">
        <v>18</v>
      </c>
      <c r="G36" s="16">
        <v>306</v>
      </c>
      <c r="H36" s="16">
        <v>29.3202</v>
      </c>
      <c r="I36" s="16">
        <v>322.2</v>
      </c>
      <c r="J36" s="20">
        <v>0.3796</v>
      </c>
      <c r="K36" s="20">
        <v>0.6204</v>
      </c>
    </row>
    <row r="37">
      <c r="A37" s="3" t="s">
        <v>75</v>
      </c>
      <c r="B37" s="14" t="s">
        <v>76</v>
      </c>
      <c r="C37" s="15">
        <v>13.08</v>
      </c>
      <c r="D37" s="3">
        <v>11</v>
      </c>
      <c r="E37" s="19">
        <v>143.88</v>
      </c>
      <c r="F37" s="16">
        <v>35</v>
      </c>
      <c r="G37" s="16">
        <v>385</v>
      </c>
      <c r="H37" s="16">
        <v>35.5127</v>
      </c>
      <c r="I37" s="16">
        <v>390.25</v>
      </c>
      <c r="J37" s="20">
        <v>0.4056</v>
      </c>
      <c r="K37" s="20">
        <v>0.5944</v>
      </c>
    </row>
    <row r="38">
      <c r="A38" s="3" t="s">
        <v>77</v>
      </c>
      <c r="B38" s="14" t="s">
        <v>78</v>
      </c>
      <c r="C38" s="15">
        <v>2.22</v>
      </c>
      <c r="D38" s="3">
        <v>166</v>
      </c>
      <c r="E38" s="19">
        <v>368.52000000000004</v>
      </c>
      <c r="F38" s="16">
        <v>10</v>
      </c>
      <c r="G38" s="16">
        <v>1650</v>
      </c>
      <c r="H38" s="16">
        <v>151.7413</v>
      </c>
      <c r="I38" s="16">
        <v>1667.4877</v>
      </c>
      <c r="J38" s="20">
        <v>0.2431</v>
      </c>
      <c r="K38" s="20">
        <v>0.7569</v>
      </c>
    </row>
    <row r="39">
      <c r="A39" s="3" t="s">
        <v>79</v>
      </c>
      <c r="B39" s="14" t="s">
        <v>80</v>
      </c>
      <c r="C39" s="15">
        <v>6.07</v>
      </c>
      <c r="D39" s="3">
        <v>164</v>
      </c>
      <c r="E39" s="19">
        <v>995.48</v>
      </c>
      <c r="F39" s="16">
        <v>23</v>
      </c>
      <c r="G39" s="16">
        <v>3643.2</v>
      </c>
      <c r="H39" s="16">
        <v>332.4894</v>
      </c>
      <c r="I39" s="16">
        <v>3653.7386</v>
      </c>
      <c r="J39" s="20">
        <v>0.2997</v>
      </c>
      <c r="K39" s="20">
        <v>0.7003</v>
      </c>
    </row>
    <row r="40">
      <c r="A40" s="3" t="s">
        <v>81</v>
      </c>
      <c r="B40" s="14" t="s">
        <v>82</v>
      </c>
      <c r="C40" s="15">
        <v>3.38</v>
      </c>
      <c r="D40" s="3">
        <v>229</v>
      </c>
      <c r="E40" s="19">
        <v>774.02</v>
      </c>
      <c r="F40" s="16">
        <v>14</v>
      </c>
      <c r="G40" s="16">
        <v>3150</v>
      </c>
      <c r="H40" s="16">
        <v>287.7674</v>
      </c>
      <c r="I40" s="16">
        <v>3162.2815</v>
      </c>
      <c r="J40" s="20">
        <v>0.2693</v>
      </c>
      <c r="K40" s="20">
        <v>0.7307</v>
      </c>
    </row>
    <row r="41">
      <c r="A41" s="3" t="s">
        <v>83</v>
      </c>
      <c r="B41" s="14" t="s">
        <v>35</v>
      </c>
      <c r="C41" s="15">
        <v>0</v>
      </c>
      <c r="D41" s="3">
        <v>1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36</v>
      </c>
      <c r="K41" s="28" t="s">
        <v>36</v>
      </c>
    </row>
    <row r="42">
      <c r="A42" s="3" t="s">
        <v>84</v>
      </c>
      <c r="B42" s="14" t="s">
        <v>85</v>
      </c>
      <c r="C42" s="15">
        <v>0.28</v>
      </c>
      <c r="D42" s="3">
        <v>1</v>
      </c>
      <c r="E42" s="19">
        <v>0.28</v>
      </c>
      <c r="F42" s="16">
        <v>2</v>
      </c>
      <c r="G42" s="16">
        <v>0</v>
      </c>
      <c r="H42" s="16">
        <v>0</v>
      </c>
      <c r="I42" s="16">
        <v>0</v>
      </c>
      <c r="J42" s="28" t="s">
        <v>36</v>
      </c>
      <c r="K42" s="28" t="s">
        <v>36</v>
      </c>
    </row>
    <row r="43">
      <c r="A43" s="3" t="s">
        <v>86</v>
      </c>
      <c r="B43" s="14" t="s">
        <v>87</v>
      </c>
      <c r="C43" s="15">
        <v>0.79</v>
      </c>
      <c r="D43" s="3">
        <v>34</v>
      </c>
      <c r="E43" s="19">
        <v>26.86</v>
      </c>
      <c r="F43" s="16">
        <v>5</v>
      </c>
      <c r="G43" s="16">
        <v>123.5</v>
      </c>
      <c r="H43" s="16">
        <v>10.5752</v>
      </c>
      <c r="I43" s="16">
        <v>116.2121</v>
      </c>
      <c r="J43" s="20">
        <v>0.2543</v>
      </c>
      <c r="K43" s="20">
        <v>0.7457</v>
      </c>
    </row>
    <row r="44">
      <c r="A44" s="3" t="s">
        <v>88</v>
      </c>
      <c r="B44" s="14" t="s">
        <v>35</v>
      </c>
      <c r="C44" s="15">
        <v>0</v>
      </c>
      <c r="D44" s="3">
        <v>1</v>
      </c>
      <c r="E44" s="19">
        <v>0</v>
      </c>
      <c r="F44" s="16">
        <v>2</v>
      </c>
      <c r="G44" s="16">
        <v>0</v>
      </c>
      <c r="H44" s="16">
        <v>0</v>
      </c>
      <c r="I44" s="16">
        <v>0</v>
      </c>
      <c r="J44" s="28" t="s">
        <v>36</v>
      </c>
      <c r="K44" s="28" t="s">
        <v>36</v>
      </c>
    </row>
    <row r="45">
      <c r="A45" s="3" t="s">
        <v>89</v>
      </c>
      <c r="B45" s="14" t="s">
        <v>90</v>
      </c>
      <c r="C45" s="15">
        <v>5.05</v>
      </c>
      <c r="D45" s="3">
        <v>51</v>
      </c>
      <c r="E45" s="19">
        <v>257.55</v>
      </c>
      <c r="F45" s="16">
        <v>24</v>
      </c>
      <c r="G45" s="16">
        <v>1152</v>
      </c>
      <c r="H45" s="16">
        <v>107.1252</v>
      </c>
      <c r="I45" s="16">
        <v>1177.2</v>
      </c>
      <c r="J45" s="20">
        <v>0.2407</v>
      </c>
      <c r="K45" s="20">
        <v>0.7593</v>
      </c>
    </row>
    <row r="46">
      <c r="A46" s="3" t="s">
        <v>91</v>
      </c>
      <c r="B46" s="14" t="s">
        <v>35</v>
      </c>
      <c r="C46" s="15">
        <v>0</v>
      </c>
      <c r="D46" s="3">
        <v>16</v>
      </c>
      <c r="E46" s="19">
        <v>0</v>
      </c>
      <c r="F46" s="16">
        <v>16</v>
      </c>
      <c r="G46" s="16">
        <v>256</v>
      </c>
      <c r="H46" s="16">
        <v>24.6064</v>
      </c>
      <c r="I46" s="16">
        <v>270.4</v>
      </c>
      <c r="J46" s="28" t="s">
        <v>36</v>
      </c>
      <c r="K46" s="28" t="s">
        <v>36</v>
      </c>
    </row>
    <row r="47">
      <c r="A47" s="3" t="s">
        <v>92</v>
      </c>
      <c r="B47" s="14" t="s">
        <v>93</v>
      </c>
      <c r="C47" s="15">
        <v>4.39</v>
      </c>
      <c r="D47" s="3">
        <v>118</v>
      </c>
      <c r="E47" s="19">
        <v>518.02</v>
      </c>
      <c r="F47" s="16">
        <v>17</v>
      </c>
      <c r="G47" s="16">
        <v>1949.9</v>
      </c>
      <c r="H47" s="16">
        <v>178.5268</v>
      </c>
      <c r="I47" s="16">
        <v>1961.8363</v>
      </c>
      <c r="J47" s="20">
        <v>0.2905</v>
      </c>
      <c r="K47" s="20">
        <v>0.7095</v>
      </c>
    </row>
    <row r="48">
      <c r="A48" s="3" t="s">
        <v>94</v>
      </c>
      <c r="B48" s="14" t="s">
        <v>95</v>
      </c>
      <c r="C48" s="15">
        <v>3.57</v>
      </c>
      <c r="D48" s="3">
        <v>56</v>
      </c>
      <c r="E48" s="19">
        <v>199.92</v>
      </c>
      <c r="F48" s="16">
        <v>14</v>
      </c>
      <c r="G48" s="16">
        <v>770</v>
      </c>
      <c r="H48" s="16">
        <v>71.2166</v>
      </c>
      <c r="I48" s="16">
        <v>782.6</v>
      </c>
      <c r="J48" s="20">
        <v>0.281</v>
      </c>
      <c r="K48" s="20">
        <v>0.719</v>
      </c>
    </row>
    <row r="49">
      <c r="A49" s="3" t="s">
        <v>96</v>
      </c>
      <c r="B49" s="14" t="s">
        <v>35</v>
      </c>
      <c r="C49" s="15">
        <v>0</v>
      </c>
      <c r="D49" s="3">
        <v>1</v>
      </c>
      <c r="E49" s="19">
        <v>0</v>
      </c>
      <c r="F49" s="16">
        <v>0</v>
      </c>
      <c r="G49" s="16">
        <v>0</v>
      </c>
      <c r="H49" s="16">
        <v>0</v>
      </c>
      <c r="I49" s="16">
        <v>0</v>
      </c>
      <c r="J49" s="28" t="s">
        <v>36</v>
      </c>
      <c r="K49" s="28" t="s">
        <v>36</v>
      </c>
    </row>
    <row r="50">
      <c r="A50" s="3" t="s">
        <v>97</v>
      </c>
      <c r="B50" s="14" t="s">
        <v>98</v>
      </c>
      <c r="C50" s="15">
        <v>3.46</v>
      </c>
      <c r="D50" s="3">
        <v>23</v>
      </c>
      <c r="E50" s="19">
        <v>79.58</v>
      </c>
      <c r="F50" s="16">
        <v>24</v>
      </c>
      <c r="G50" s="16">
        <v>552</v>
      </c>
      <c r="H50" s="16">
        <v>49.3584</v>
      </c>
      <c r="I50" s="16">
        <v>542.4</v>
      </c>
      <c r="J50" s="20">
        <v>0.1614</v>
      </c>
      <c r="K50" s="20">
        <v>0.8386</v>
      </c>
    </row>
    <row r="51">
      <c r="A51" s="3" t="s">
        <v>99</v>
      </c>
      <c r="B51" s="14" t="s">
        <v>35</v>
      </c>
      <c r="C51" s="15">
        <v>0</v>
      </c>
      <c r="D51" s="3">
        <v>10</v>
      </c>
      <c r="E51" s="19">
        <v>0</v>
      </c>
      <c r="F51" s="16">
        <v>0</v>
      </c>
      <c r="G51" s="16">
        <v>0</v>
      </c>
      <c r="H51" s="16">
        <v>0</v>
      </c>
      <c r="I51" s="16">
        <v>0</v>
      </c>
      <c r="J51" s="28" t="s">
        <v>36</v>
      </c>
      <c r="K51" s="28" t="s">
        <v>36</v>
      </c>
    </row>
    <row r="52">
      <c r="A52" s="3" t="s">
        <v>100</v>
      </c>
      <c r="B52" s="14" t="s">
        <v>35</v>
      </c>
      <c r="C52" s="15">
        <v>0</v>
      </c>
      <c r="D52" s="3">
        <v>20</v>
      </c>
      <c r="E52" s="19">
        <v>0</v>
      </c>
      <c r="F52" s="16">
        <v>0</v>
      </c>
      <c r="G52" s="16">
        <v>0</v>
      </c>
      <c r="H52" s="16">
        <v>0</v>
      </c>
      <c r="I52" s="16">
        <v>0</v>
      </c>
      <c r="J52" s="28" t="s">
        <v>36</v>
      </c>
      <c r="K52" s="28" t="s">
        <v>36</v>
      </c>
    </row>
    <row r="53">
      <c r="A53" s="3" t="s">
        <v>101</v>
      </c>
      <c r="B53" s="14" t="s">
        <v>35</v>
      </c>
      <c r="C53" s="15">
        <v>0</v>
      </c>
      <c r="D53" s="3">
        <v>4</v>
      </c>
      <c r="E53" s="19">
        <v>0</v>
      </c>
      <c r="F53" s="16">
        <v>0</v>
      </c>
      <c r="G53" s="16">
        <v>0</v>
      </c>
      <c r="H53" s="16">
        <v>0</v>
      </c>
      <c r="I53" s="16">
        <v>0</v>
      </c>
      <c r="J53" s="28" t="s">
        <v>36</v>
      </c>
      <c r="K53" s="28" t="s">
        <v>36</v>
      </c>
    </row>
    <row r="54">
      <c r="A54" s="3"/>
      <c r="B54" s="14"/>
      <c r="C54" s="15"/>
      <c r="D54" s="3"/>
      <c r="E54" s="19"/>
      <c r="F54" s="16"/>
      <c r="G54" s="16"/>
      <c r="H54" s="16"/>
      <c r="I54" s="16"/>
      <c r="J54" s="20"/>
      <c r="K54" s="20"/>
    </row>
    <row r="55" ht="15.75" s="3" customFormat="1">
      <c r="A55" s="22" t="s">
        <v>102</v>
      </c>
      <c r="B55" s="23"/>
      <c r="C55" s="27"/>
      <c r="D55" s="27"/>
      <c r="E55" s="24">
        <f>SUM(E7:E54)</f>
        <v>0</v>
      </c>
      <c r="F55" s="22"/>
      <c r="G55" s="22"/>
      <c r="H55" s="22"/>
      <c r="I55" s="24">
        <f>SUM(I7:I54)</f>
        <v>0</v>
      </c>
      <c r="J55" s="25" t="e">
        <f>E55/(I55/1.1)</f>
        <v>#DIV/0!</v>
      </c>
      <c r="K55" s="26" t="e">
        <f>1-J55</f>
        <v>#DIV/0!</v>
      </c>
    </row>
  </sheetData>
  <sortState ref="A7:K34">
    <sortCondition ref="C7:C34"/>
  </sortState>
  <mergeCells>
    <mergeCell ref="C55:D5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