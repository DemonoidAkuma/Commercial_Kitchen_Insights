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<sst xmlns="http://schemas.openxmlformats.org/spreadsheetml/2006/main" count="147" uniqueCount="147">
  <si>
    <t>SALES DETAIL BREAKDOWN</t>
  </si>
  <si>
    <t>Venue:</t>
  </si>
  <si>
    <t/>
  </si>
  <si>
    <t>From Date:</t>
  </si>
  <si>
    <t>30/06/2025</t>
  </si>
  <si>
    <t>To Date:</t>
  </si>
  <si>
    <t>27/07/2025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</si>
  <si>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</si>
  <si>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</si>
  <si>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</si>
  <si>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</si>
  <si>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</si>
  <si>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</si>
  <si>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</si>
  <si>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</si>
  <si>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</si>
  <si>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</si>
  <si>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</si>
  <si>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THE PAPERBARK </t>
  </si>
  <si>
    <t>Paperbark Burger (PBC) - Dish</t>
  </si>
  <si>
    <t>(**FAM DEAL**)</t>
  </si>
  <si>
    <t>None</t>
  </si>
  <si>
    <t>⚠️</t>
  </si>
  <si>
    <t>(**WINGS WEDNESDAY**)</t>
  </si>
  <si>
    <t>+CHIX SALT</t>
  </si>
  <si>
    <t>Paperbark Chip Salt (PBC) - Recipe</t>
  </si>
  <si>
    <t>+NORMAL SALT</t>
  </si>
  <si>
    <t>A1 HABANERO HONEY</t>
  </si>
  <si>
    <t>Habanero Honey (PBC) - Sauce</t>
  </si>
  <si>
    <t>A1 REAPER BBQ</t>
  </si>
  <si>
    <t>Reaper BBQ (PBC) - Sauce</t>
  </si>
  <si>
    <t>A1 SMOKED SRIRACHA</t>
  </si>
  <si>
    <t>Smoked Sriracha (PBC) - Sauce</t>
  </si>
  <si>
    <t>AUSSIE AF</t>
  </si>
  <si>
    <t xml:space="preserve">Aussie As Fuck (PBC) - Dish </t>
  </si>
  <si>
    <t>BLUE CHEESE RANCH</t>
  </si>
  <si>
    <t>Ranch (PBC) - Sauce</t>
  </si>
  <si>
    <t>CHICKEN THIGH (1)</t>
  </si>
  <si>
    <t>Chicken Thigh (PBC) - Dish</t>
  </si>
  <si>
    <t>CHICKEN WINGS (6)</t>
  </si>
  <si>
    <t>Chicken Wings (PBC) - Dish</t>
  </si>
  <si>
    <t>Chip Butty</t>
  </si>
  <si>
    <t>Chip Buddie (PBC) - Dish</t>
  </si>
  <si>
    <t xml:space="preserve">CHIPOTLE SAUCE </t>
  </si>
  <si>
    <t>Add Chipotle Ketchup (TMG) - Modifier</t>
  </si>
  <si>
    <t>CLASSIC BRG</t>
  </si>
  <si>
    <t>The Classic (PBC) - Dish</t>
  </si>
  <si>
    <t>COMEBACK CHICKEN</t>
  </si>
  <si>
    <t>Comeback Chicken (PBC) - Dish</t>
  </si>
  <si>
    <t>COMEBACK FRIED SHROOM</t>
  </si>
  <si>
    <t>Comeback Fried Mushroom (PBC) - Dish</t>
  </si>
  <si>
    <t>Dine In</t>
  </si>
  <si>
    <t>DONT GO BACON MY HEART</t>
  </si>
  <si>
    <t>Don't Go Bacon My Heart (PBC) - Dish</t>
  </si>
  <si>
    <t>DONT HAVE A COW</t>
  </si>
  <si>
    <t>Don't Have a Cow Man (PBC) - Dish</t>
  </si>
  <si>
    <t>FAMILY DEAL</t>
  </si>
  <si>
    <t>GARLIC MAYO</t>
  </si>
  <si>
    <t>GRILLED CHICK No</t>
  </si>
  <si>
    <t>Grilled Chick (PBC) - Dish</t>
  </si>
  <si>
    <t>Hens Party</t>
  </si>
  <si>
    <t>Hens Party (PBC)</t>
  </si>
  <si>
    <t>LILBARK</t>
  </si>
  <si>
    <t>Little Bark (PBC) - Dish</t>
  </si>
  <si>
    <t>LOADED KIMCHI FRIES</t>
  </si>
  <si>
    <t>Asian Loaded Fries (PBC) - Dish</t>
  </si>
  <si>
    <t>LOADED PULL BEEF FRIES</t>
  </si>
  <si>
    <t>Beef Loaded Fries (PBC) - Dish</t>
  </si>
  <si>
    <t>LRG FRIES</t>
  </si>
  <si>
    <t>Chips, Large (PBC) - Dish</t>
  </si>
  <si>
    <t>MINIBARK &amp; CHIPS</t>
  </si>
  <si>
    <t>Mini Bark (PBC) - Dish</t>
  </si>
  <si>
    <t>MOTHER CLUCKER</t>
  </si>
  <si>
    <t>Mother Clucker (PBC) - Dish</t>
  </si>
  <si>
    <t>MUSHROOM BRG</t>
  </si>
  <si>
    <t>The Smushroom (PBC) - Dish</t>
  </si>
  <si>
    <t>NO TOMATO SAUCE</t>
  </si>
  <si>
    <t>NUGGIES &amp; CHIPS</t>
  </si>
  <si>
    <t>Kids Nuggets (PBC) - Dish</t>
  </si>
  <si>
    <t>POPPERS (2)</t>
  </si>
  <si>
    <t>Jalapeno Poppers, 2 (PBC) - Dish</t>
  </si>
  <si>
    <t>REG FRIES</t>
  </si>
  <si>
    <t xml:space="preserve">Chips Regular - Side (PBC) UBER </t>
  </si>
  <si>
    <t>SHREDDER</t>
  </si>
  <si>
    <t>The Shredder (PBC) - Dish</t>
  </si>
  <si>
    <t>SMOKY BBQ</t>
  </si>
  <si>
    <t>Smoky BBQ (PBC) - Sauce</t>
  </si>
  <si>
    <t>SMUSHROOM BURGER</t>
  </si>
  <si>
    <t>SPICY COW</t>
  </si>
  <si>
    <t>Spicy Cow (PBC) - Dish</t>
  </si>
  <si>
    <t>SRIRACHA MAYO</t>
  </si>
  <si>
    <t>Sriracha Mayo (PBC) - Sauce</t>
  </si>
  <si>
    <t xml:space="preserve">T/A  THE PAPERBARK</t>
  </si>
  <si>
    <t xml:space="preserve">Paperbark Burger (PBC) - UBER </t>
  </si>
  <si>
    <t xml:space="preserve">T/A  VEG NUGGIES &amp; CHIPS</t>
  </si>
  <si>
    <t>Kids Plant Based Nuggets (PBC) - Dish</t>
  </si>
  <si>
    <t>T/A ADD BEEF BACON</t>
  </si>
  <si>
    <t xml:space="preserve">Add Beef Bacon (PBC) - Modifier </t>
  </si>
  <si>
    <t>T/A ADD CHICKEN</t>
  </si>
  <si>
    <t>Add Chicken Thigh (PBC) - Modifier</t>
  </si>
  <si>
    <t>T/A ADD EGG</t>
  </si>
  <si>
    <t>T/A AUSSIE AF</t>
  </si>
  <si>
    <t>Aussie As Fuck (PBC) - UBER</t>
  </si>
  <si>
    <t>T/A CHIX THIGH (1)</t>
  </si>
  <si>
    <t>Chicken Thigh - Side (PBC) UBER</t>
  </si>
  <si>
    <t>T/A CHIX WINGS (6)</t>
  </si>
  <si>
    <t>Chicken Wings - Side (PBC) UBER</t>
  </si>
  <si>
    <t>T/A COMEBACK CHICKEN</t>
  </si>
  <si>
    <t>Comeback Chicken (PBC) UBER</t>
  </si>
  <si>
    <t>T/A DONT HAVE A COW</t>
  </si>
  <si>
    <t>Dont have a Cow Man (PBC) UBER</t>
  </si>
  <si>
    <t>T/A GARLIC MAYO</t>
  </si>
  <si>
    <t>T/A GRILLED CHICK</t>
  </si>
  <si>
    <t>Grilled Chick (PBC) UBER</t>
  </si>
  <si>
    <t>T/A JALAPENO POPPERS</t>
  </si>
  <si>
    <t>Jalapeno Poppers - Side (PBC) UBER</t>
  </si>
  <si>
    <t>T/A LRG FRIES</t>
  </si>
  <si>
    <t>Chips Large - Side (PBC) UBER</t>
  </si>
  <si>
    <t>T/A MINIBARK &amp; CHIPS</t>
  </si>
  <si>
    <t>Mini Bark (PBC) UBER</t>
  </si>
  <si>
    <t>T/A NUGGIES &amp; CHIPS</t>
  </si>
  <si>
    <t>Kids Nuggets (PBC) UBER</t>
  </si>
  <si>
    <t>T/A REG FRIES</t>
  </si>
  <si>
    <t>T/A SMOKEY BBQ</t>
  </si>
  <si>
    <t>T/A SMUSHROOM BURGER No5</t>
  </si>
  <si>
    <t>The Shushroom (PBC) UBER</t>
  </si>
  <si>
    <t>T/A SRIRACHA MAYO</t>
  </si>
  <si>
    <t>T/A THE CLASSIC</t>
  </si>
  <si>
    <t>The Classic (PBC) UBER</t>
  </si>
  <si>
    <t>T/A THE LILBARK</t>
  </si>
  <si>
    <t>Little Bark (PBC) UBER</t>
  </si>
  <si>
    <t>T/A THE SPICY COW</t>
  </si>
  <si>
    <t>T/A TRUFFLE MAYO</t>
  </si>
  <si>
    <t>Truffle Mayo (PBC) - Sauce</t>
  </si>
  <si>
    <t>T/A WB SAUCE</t>
  </si>
  <si>
    <t>THE BIG CHEESE</t>
  </si>
  <si>
    <t>The Big Cheese (PBC) - Dish</t>
  </si>
  <si>
    <t>THE CLASSIC</t>
  </si>
  <si>
    <t xml:space="preserve">THE LILBARK </t>
  </si>
  <si>
    <t>THE SPICY COW</t>
  </si>
  <si>
    <t xml:space="preserve">THE TRIBUTE </t>
  </si>
  <si>
    <t>The Tribute (PBC) - Dish</t>
  </si>
  <si>
    <t>TRIBUTE</t>
  </si>
  <si>
    <t>TRUFFLE MAYO</t>
  </si>
  <si>
    <t>WB SAUCE</t>
  </si>
  <si>
    <t>WINGS WEDNESDAY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</si>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</sst>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5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4.74</v>
      </c>
      <c r="D7" s="3">
        <v>321</v>
      </c>
      <c r="E7" s="19">
        <v>1521.54</v>
      </c>
      <c r="F7" s="16">
        <v>16.629283489096572</v>
      </c>
      <c r="G7" s="16">
        <v>5216.83</v>
      </c>
      <c r="H7" s="16">
        <v>474.7315</v>
      </c>
      <c r="I7" s="16">
        <v>5216.83</v>
      </c>
      <c r="J7" s="20">
        <v>0.3209</v>
      </c>
      <c r="K7" s="20">
        <v>0.6791</v>
      </c>
    </row>
    <row r="8" s="3" customFormat="1">
      <c r="A8" s="3" t="s">
        <v>20</v>
      </c>
      <c r="B8" s="14" t="s">
        <v>21</v>
      </c>
      <c r="C8" s="15">
        <v>0</v>
      </c>
      <c r="D8" s="3">
        <v>18</v>
      </c>
      <c r="E8" s="19">
        <v>0</v>
      </c>
      <c r="F8" s="16">
        <v>0</v>
      </c>
      <c r="G8" s="16">
        <v>0</v>
      </c>
      <c r="H8" s="16">
        <v>0</v>
      </c>
      <c r="I8" s="16">
        <v>0</v>
      </c>
      <c r="J8" s="28" t="s">
        <v>22</v>
      </c>
      <c r="K8" s="28" t="s">
        <v>22</v>
      </c>
    </row>
    <row r="9" s="3" customFormat="1">
      <c r="A9" s="3" t="s">
        <v>23</v>
      </c>
      <c r="B9" s="14" t="s">
        <v>21</v>
      </c>
      <c r="C9" s="15">
        <v>0</v>
      </c>
      <c r="D9" s="3">
        <v>3</v>
      </c>
      <c r="E9" s="19">
        <v>0</v>
      </c>
      <c r="F9" s="16">
        <v>0</v>
      </c>
      <c r="G9" s="16">
        <v>0</v>
      </c>
      <c r="H9" s="16">
        <v>0</v>
      </c>
      <c r="I9" s="16">
        <v>0</v>
      </c>
      <c r="J9" s="28" t="s">
        <v>22</v>
      </c>
      <c r="K9" s="28" t="s">
        <v>22</v>
      </c>
    </row>
    <row r="10" s="3" customFormat="1">
      <c r="A10" s="3" t="s">
        <v>24</v>
      </c>
      <c r="B10" s="14" t="s">
        <v>25</v>
      </c>
      <c r="C10" s="15">
        <v>101.36</v>
      </c>
      <c r="D10" s="3">
        <v>91</v>
      </c>
      <c r="E10" s="19">
        <v>9223.76</v>
      </c>
      <c r="F10" s="16">
        <v>0</v>
      </c>
      <c r="G10" s="16">
        <v>0</v>
      </c>
      <c r="H10" s="16">
        <v>0</v>
      </c>
      <c r="I10" s="16">
        <v>0</v>
      </c>
      <c r="J10" s="28" t="s">
        <v>22</v>
      </c>
      <c r="K10" s="28" t="s">
        <v>22</v>
      </c>
    </row>
    <row r="11" s="3" customFormat="1">
      <c r="A11" s="3" t="s">
        <v>26</v>
      </c>
      <c r="B11" s="14" t="s">
        <v>21</v>
      </c>
      <c r="C11" s="15">
        <v>0</v>
      </c>
      <c r="D11" s="3">
        <v>35</v>
      </c>
      <c r="E11" s="19">
        <v>0</v>
      </c>
      <c r="F11" s="16">
        <v>0</v>
      </c>
      <c r="G11" s="16">
        <v>0</v>
      </c>
      <c r="H11" s="16">
        <v>0</v>
      </c>
      <c r="I11" s="16">
        <v>0</v>
      </c>
      <c r="J11" s="28" t="s">
        <v>22</v>
      </c>
      <c r="K11" s="28" t="s">
        <v>22</v>
      </c>
    </row>
    <row r="12" s="3" customFormat="1">
      <c r="A12" s="3" t="s">
        <v>27</v>
      </c>
      <c r="B12" s="14" t="s">
        <v>28</v>
      </c>
      <c r="C12" s="15">
        <v>1.86</v>
      </c>
      <c r="D12" s="3">
        <v>1</v>
      </c>
      <c r="E12" s="19">
        <v>1.86</v>
      </c>
      <c r="F12" s="16">
        <v>3</v>
      </c>
      <c r="G12" s="16">
        <v>2.23</v>
      </c>
      <c r="H12" s="16">
        <v>0.2029</v>
      </c>
      <c r="I12" s="16">
        <v>2.23</v>
      </c>
      <c r="J12" s="20">
        <v>0.9176</v>
      </c>
      <c r="K12" s="20">
        <v>0.0824</v>
      </c>
    </row>
    <row r="13" s="3" customFormat="1">
      <c r="A13" s="3" t="s">
        <v>29</v>
      </c>
      <c r="B13" s="14" t="s">
        <v>30</v>
      </c>
      <c r="C13" s="15">
        <v>1.86</v>
      </c>
      <c r="D13" s="3">
        <v>3</v>
      </c>
      <c r="E13" s="19">
        <v>5.58</v>
      </c>
      <c r="F13" s="16">
        <v>3</v>
      </c>
      <c r="G13" s="16">
        <v>8.23</v>
      </c>
      <c r="H13" s="16">
        <v>0.7489</v>
      </c>
      <c r="I13" s="16">
        <v>8.23</v>
      </c>
      <c r="J13" s="20">
        <v>0.7459</v>
      </c>
      <c r="K13" s="20">
        <v>0.2541</v>
      </c>
    </row>
    <row r="14" s="3" customFormat="1">
      <c r="A14" s="3" t="s">
        <v>31</v>
      </c>
      <c r="B14" s="14" t="s">
        <v>32</v>
      </c>
      <c r="C14" s="15">
        <v>1.53</v>
      </c>
      <c r="D14" s="3">
        <v>3</v>
      </c>
      <c r="E14" s="19">
        <v>4.59</v>
      </c>
      <c r="F14" s="16">
        <v>3</v>
      </c>
      <c r="G14" s="16">
        <v>8.23</v>
      </c>
      <c r="H14" s="16">
        <v>0.7489</v>
      </c>
      <c r="I14" s="16">
        <v>8.23</v>
      </c>
      <c r="J14" s="20">
        <v>0.6135</v>
      </c>
      <c r="K14" s="20">
        <v>0.3865</v>
      </c>
    </row>
    <row r="15" s="3" customFormat="1">
      <c r="A15" s="3" t="s">
        <v>33</v>
      </c>
      <c r="B15" s="14" t="s">
        <v>34</v>
      </c>
      <c r="C15" s="15">
        <v>6.06</v>
      </c>
      <c r="D15" s="3">
        <v>145</v>
      </c>
      <c r="E15" s="19">
        <v>878.69999999999993</v>
      </c>
      <c r="F15" s="16">
        <v>19</v>
      </c>
      <c r="G15" s="16">
        <v>2648.51</v>
      </c>
      <c r="H15" s="16">
        <v>241.0142</v>
      </c>
      <c r="I15" s="16">
        <v>2648.51</v>
      </c>
      <c r="J15" s="20">
        <v>0.365</v>
      </c>
      <c r="K15" s="20">
        <v>0.635</v>
      </c>
    </row>
    <row r="16" s="3" customFormat="1">
      <c r="A16" s="3" t="s">
        <v>35</v>
      </c>
      <c r="B16" s="14" t="s">
        <v>36</v>
      </c>
      <c r="C16" s="15">
        <v>0.96</v>
      </c>
      <c r="D16" s="3">
        <v>50</v>
      </c>
      <c r="E16" s="19">
        <v>48</v>
      </c>
      <c r="F16" s="16">
        <v>3.29</v>
      </c>
      <c r="G16" s="16">
        <v>164.5</v>
      </c>
      <c r="H16" s="16">
        <v>14.9695</v>
      </c>
      <c r="I16" s="16">
        <v>164.5</v>
      </c>
      <c r="J16" s="20">
        <v>0.321</v>
      </c>
      <c r="K16" s="20">
        <v>0.679</v>
      </c>
    </row>
    <row r="17" s="3" customFormat="1">
      <c r="A17" s="3" t="s">
        <v>37</v>
      </c>
      <c r="B17" s="14" t="s">
        <v>38</v>
      </c>
      <c r="C17" s="15">
        <v>3.02</v>
      </c>
      <c r="D17" s="3">
        <v>93</v>
      </c>
      <c r="E17" s="19">
        <v>280.86</v>
      </c>
      <c r="F17" s="16">
        <v>9</v>
      </c>
      <c r="G17" s="16">
        <v>799.2</v>
      </c>
      <c r="H17" s="16">
        <v>72.7272</v>
      </c>
      <c r="I17" s="16">
        <v>799.2</v>
      </c>
      <c r="J17" s="20">
        <v>0.3866</v>
      </c>
      <c r="K17" s="20">
        <v>0.6134</v>
      </c>
    </row>
    <row r="18" s="3" customFormat="1">
      <c r="A18" s="3" t="s">
        <v>39</v>
      </c>
      <c r="B18" s="14" t="s">
        <v>40</v>
      </c>
      <c r="C18" s="15">
        <v>3.65</v>
      </c>
      <c r="D18" s="3">
        <v>74</v>
      </c>
      <c r="E18" s="19">
        <v>270.09999999999997</v>
      </c>
      <c r="F18" s="16">
        <v>13</v>
      </c>
      <c r="G18" s="16">
        <v>922.11</v>
      </c>
      <c r="H18" s="16">
        <v>82.7288</v>
      </c>
      <c r="I18" s="16">
        <v>909.11</v>
      </c>
      <c r="J18" s="20">
        <v>0.3268</v>
      </c>
      <c r="K18" s="20">
        <v>0.6732</v>
      </c>
    </row>
    <row r="19" s="3" customFormat="1">
      <c r="A19" s="3" t="s">
        <v>41</v>
      </c>
      <c r="B19" s="14" t="s">
        <v>42</v>
      </c>
      <c r="C19" s="15">
        <v>5.17</v>
      </c>
      <c r="D19" s="3">
        <v>120</v>
      </c>
      <c r="E19" s="19">
        <v>620.4</v>
      </c>
      <c r="F19" s="16">
        <v>22</v>
      </c>
      <c r="G19" s="16">
        <v>2471.33</v>
      </c>
      <c r="H19" s="16">
        <v>224.891</v>
      </c>
      <c r="I19" s="16">
        <v>2471.33</v>
      </c>
      <c r="J19" s="20">
        <v>0.2762</v>
      </c>
      <c r="K19" s="20">
        <v>0.7238</v>
      </c>
    </row>
    <row r="20" s="3" customFormat="1">
      <c r="A20" s="3" t="s">
        <v>43</v>
      </c>
      <c r="B20" s="14" t="s">
        <v>44</v>
      </c>
      <c r="C20" s="15">
        <v>0.66</v>
      </c>
      <c r="D20" s="3">
        <v>18</v>
      </c>
      <c r="E20" s="19">
        <v>11.88</v>
      </c>
      <c r="F20" s="16">
        <v>3</v>
      </c>
      <c r="G20" s="16">
        <v>54</v>
      </c>
      <c r="H20" s="16">
        <v>4.914</v>
      </c>
      <c r="I20" s="16">
        <v>54</v>
      </c>
      <c r="J20" s="20">
        <v>0.242</v>
      </c>
      <c r="K20" s="20">
        <v>0.758</v>
      </c>
    </row>
    <row r="21" s="3" customFormat="1">
      <c r="A21" s="3" t="s">
        <v>45</v>
      </c>
      <c r="B21" s="14" t="s">
        <v>46</v>
      </c>
      <c r="C21" s="15">
        <v>5.26</v>
      </c>
      <c r="D21" s="3">
        <v>8</v>
      </c>
      <c r="E21" s="19">
        <v>42.08</v>
      </c>
      <c r="F21" s="16">
        <v>0</v>
      </c>
      <c r="G21" s="16">
        <v>0</v>
      </c>
      <c r="H21" s="16">
        <v>0</v>
      </c>
      <c r="I21" s="16">
        <v>0</v>
      </c>
      <c r="J21" s="28" t="s">
        <v>22</v>
      </c>
      <c r="K21" s="28" t="s">
        <v>22</v>
      </c>
    </row>
    <row r="22" s="3" customFormat="1">
      <c r="A22" s="3" t="s">
        <v>47</v>
      </c>
      <c r="B22" s="14" t="s">
        <v>48</v>
      </c>
      <c r="C22" s="15">
        <v>5.69</v>
      </c>
      <c r="D22" s="3">
        <v>145</v>
      </c>
      <c r="E22" s="19">
        <v>825.05000000000007</v>
      </c>
      <c r="F22" s="16">
        <v>17.875862068965517</v>
      </c>
      <c r="G22" s="16">
        <v>2510.5</v>
      </c>
      <c r="H22" s="16">
        <v>228.4554</v>
      </c>
      <c r="I22" s="16">
        <v>2510.5</v>
      </c>
      <c r="J22" s="20">
        <v>0.3615</v>
      </c>
      <c r="K22" s="20">
        <v>0.6385</v>
      </c>
    </row>
    <row r="23" s="3" customFormat="1">
      <c r="A23" s="3" t="s">
        <v>47</v>
      </c>
      <c r="B23" s="14" t="s">
        <v>48</v>
      </c>
      <c r="C23" s="15">
        <v>5.69</v>
      </c>
      <c r="D23" s="3">
        <v>2</v>
      </c>
      <c r="E23" s="19">
        <v>11.38</v>
      </c>
      <c r="F23" s="16">
        <v>0</v>
      </c>
      <c r="G23" s="16">
        <v>0</v>
      </c>
      <c r="H23" s="16">
        <v>0</v>
      </c>
      <c r="I23" s="16">
        <v>0</v>
      </c>
      <c r="J23" s="28" t="s">
        <v>22</v>
      </c>
      <c r="K23" s="28" t="s">
        <v>22</v>
      </c>
    </row>
    <row r="24" s="3" customFormat="1">
      <c r="A24" s="3" t="s">
        <v>49</v>
      </c>
      <c r="B24" s="14" t="s">
        <v>50</v>
      </c>
      <c r="C24" s="15">
        <v>2.36</v>
      </c>
      <c r="D24" s="3">
        <v>63</v>
      </c>
      <c r="E24" s="19">
        <v>148.67999999999998</v>
      </c>
      <c r="F24" s="16">
        <v>4.7936507936507944</v>
      </c>
      <c r="G24" s="16">
        <v>295.6</v>
      </c>
      <c r="H24" s="16">
        <v>26.8996</v>
      </c>
      <c r="I24" s="16">
        <v>295.6</v>
      </c>
      <c r="J24" s="20">
        <v>0.5533</v>
      </c>
      <c r="K24" s="20">
        <v>0.4467</v>
      </c>
    </row>
    <row r="25" s="3" customFormat="1">
      <c r="A25" s="3" t="s">
        <v>51</v>
      </c>
      <c r="B25" s="14" t="s">
        <v>21</v>
      </c>
      <c r="C25" s="15">
        <v>0</v>
      </c>
      <c r="D25" s="3">
        <v>187</v>
      </c>
      <c r="E25" s="19">
        <v>0</v>
      </c>
      <c r="F25" s="16">
        <v>0</v>
      </c>
      <c r="G25" s="16">
        <v>0</v>
      </c>
      <c r="H25" s="16">
        <v>0</v>
      </c>
      <c r="I25" s="16">
        <v>0</v>
      </c>
      <c r="J25" s="28" t="s">
        <v>22</v>
      </c>
      <c r="K25" s="28" t="s">
        <v>22</v>
      </c>
    </row>
    <row r="26" s="3" customFormat="1">
      <c r="A26" s="3" t="s">
        <v>52</v>
      </c>
      <c r="B26" s="14" t="s">
        <v>53</v>
      </c>
      <c r="C26" s="15">
        <v>6.18</v>
      </c>
      <c r="D26" s="3">
        <v>115</v>
      </c>
      <c r="E26" s="19">
        <v>710.69999999999993</v>
      </c>
      <c r="F26" s="16">
        <v>21</v>
      </c>
      <c r="G26" s="16">
        <v>2263.22</v>
      </c>
      <c r="H26" s="16">
        <v>205.953</v>
      </c>
      <c r="I26" s="16">
        <v>2263.22</v>
      </c>
      <c r="J26" s="20">
        <v>0.3455</v>
      </c>
      <c r="K26" s="20">
        <v>0.6545</v>
      </c>
    </row>
    <row r="27" s="3" customFormat="1">
      <c r="A27" s="3" t="s">
        <v>54</v>
      </c>
      <c r="B27" s="14" t="s">
        <v>55</v>
      </c>
      <c r="C27" s="15">
        <v>5.47</v>
      </c>
      <c r="D27" s="3">
        <v>21</v>
      </c>
      <c r="E27" s="19">
        <v>114.86999999999999</v>
      </c>
      <c r="F27" s="16">
        <v>17</v>
      </c>
      <c r="G27" s="16">
        <v>304.16</v>
      </c>
      <c r="H27" s="16">
        <v>27.6784</v>
      </c>
      <c r="I27" s="16">
        <v>304.16</v>
      </c>
      <c r="J27" s="20">
        <v>0.4155</v>
      </c>
      <c r="K27" s="20">
        <v>0.5845</v>
      </c>
    </row>
    <row r="28" s="3" customFormat="1">
      <c r="A28" s="3" t="s">
        <v>56</v>
      </c>
      <c r="B28" s="14" t="s">
        <v>21</v>
      </c>
      <c r="C28" s="15">
        <v>0</v>
      </c>
      <c r="D28" s="3">
        <v>24</v>
      </c>
      <c r="E28" s="19">
        <v>0</v>
      </c>
      <c r="F28" s="16">
        <v>75.833333333333329</v>
      </c>
      <c r="G28" s="16">
        <v>1820</v>
      </c>
      <c r="H28" s="16">
        <v>165.62</v>
      </c>
      <c r="I28" s="16">
        <v>1820</v>
      </c>
      <c r="J28" s="28" t="s">
        <v>22</v>
      </c>
      <c r="K28" s="28" t="s">
        <v>22</v>
      </c>
    </row>
    <row r="29" s="3" customFormat="1">
      <c r="A29" s="3" t="s">
        <v>57</v>
      </c>
      <c r="B29" s="14" t="s">
        <v>21</v>
      </c>
      <c r="C29" s="15">
        <v>0</v>
      </c>
      <c r="D29" s="3">
        <v>39</v>
      </c>
      <c r="E29" s="19">
        <v>0</v>
      </c>
      <c r="F29" s="16">
        <v>3</v>
      </c>
      <c r="G29" s="16">
        <v>114</v>
      </c>
      <c r="H29" s="16">
        <v>10.374</v>
      </c>
      <c r="I29" s="16">
        <v>114</v>
      </c>
      <c r="J29" s="28" t="s">
        <v>22</v>
      </c>
      <c r="K29" s="28" t="s">
        <v>22</v>
      </c>
    </row>
    <row r="30" s="3" customFormat="1">
      <c r="A30" s="3" t="s">
        <v>58</v>
      </c>
      <c r="B30" s="14" t="s">
        <v>59</v>
      </c>
      <c r="C30" s="15">
        <v>5.22</v>
      </c>
      <c r="D30" s="3">
        <v>49</v>
      </c>
      <c r="E30" s="19">
        <v>255.78</v>
      </c>
      <c r="F30" s="16">
        <v>17.632653061224492</v>
      </c>
      <c r="G30" s="16">
        <v>813.6</v>
      </c>
      <c r="H30" s="16">
        <v>70.7616</v>
      </c>
      <c r="I30" s="16">
        <v>777.6</v>
      </c>
      <c r="J30" s="20">
        <v>0.3619</v>
      </c>
      <c r="K30" s="20">
        <v>0.6381</v>
      </c>
    </row>
    <row r="31" s="3" customFormat="1">
      <c r="A31" s="3" t="s">
        <v>60</v>
      </c>
      <c r="B31" s="14" t="s">
        <v>61</v>
      </c>
      <c r="C31" s="15">
        <v>5.75</v>
      </c>
      <c r="D31" s="3">
        <v>7</v>
      </c>
      <c r="E31" s="19">
        <v>40.25</v>
      </c>
      <c r="F31" s="16">
        <v>24</v>
      </c>
      <c r="G31" s="16">
        <v>160.8</v>
      </c>
      <c r="H31" s="16">
        <v>14.6328</v>
      </c>
      <c r="I31" s="16">
        <v>160.8</v>
      </c>
      <c r="J31" s="20">
        <v>0.2754</v>
      </c>
      <c r="K31" s="20">
        <v>0.7246</v>
      </c>
    </row>
    <row r="32" s="3" customFormat="1">
      <c r="A32" s="3" t="s">
        <v>62</v>
      </c>
      <c r="B32" s="14" t="s">
        <v>63</v>
      </c>
      <c r="C32" s="15">
        <v>3.2</v>
      </c>
      <c r="D32" s="3">
        <v>1</v>
      </c>
      <c r="E32" s="19">
        <v>3.2</v>
      </c>
      <c r="F32" s="16">
        <v>0</v>
      </c>
      <c r="G32" s="16">
        <v>0</v>
      </c>
      <c r="H32" s="16">
        <v>0</v>
      </c>
      <c r="I32" s="16">
        <v>0</v>
      </c>
      <c r="J32" s="28" t="s">
        <v>22</v>
      </c>
      <c r="K32" s="28" t="s">
        <v>22</v>
      </c>
    </row>
    <row r="33" s="3" customFormat="1">
      <c r="A33" s="3" t="s">
        <v>64</v>
      </c>
      <c r="B33" s="14" t="s">
        <v>65</v>
      </c>
      <c r="C33" s="15">
        <v>2.98</v>
      </c>
      <c r="D33" s="3">
        <v>37</v>
      </c>
      <c r="E33" s="19">
        <v>110.26</v>
      </c>
      <c r="F33" s="16">
        <v>13.756756756756756</v>
      </c>
      <c r="G33" s="16">
        <v>509</v>
      </c>
      <c r="H33" s="16">
        <v>46.319</v>
      </c>
      <c r="I33" s="16">
        <v>509</v>
      </c>
      <c r="J33" s="20">
        <v>0.2383</v>
      </c>
      <c r="K33" s="20">
        <v>0.7617</v>
      </c>
    </row>
    <row r="34" s="3" customFormat="1">
      <c r="A34" s="3" t="s">
        <v>66</v>
      </c>
      <c r="B34" s="14" t="s">
        <v>67</v>
      </c>
      <c r="C34" s="15">
        <v>3.91</v>
      </c>
      <c r="D34" s="3">
        <v>227</v>
      </c>
      <c r="E34" s="19">
        <v>887.57</v>
      </c>
      <c r="F34" s="16">
        <v>15.308370044052865</v>
      </c>
      <c r="G34" s="16">
        <v>3448.4</v>
      </c>
      <c r="H34" s="16">
        <v>313.8044</v>
      </c>
      <c r="I34" s="16">
        <v>3448.4</v>
      </c>
      <c r="J34" s="20">
        <v>0.2832</v>
      </c>
      <c r="K34" s="20">
        <v>0.7168</v>
      </c>
    </row>
    <row r="35">
      <c r="A35" s="3" t="s">
        <v>68</v>
      </c>
      <c r="B35" s="14" t="s">
        <v>69</v>
      </c>
      <c r="C35" s="15">
        <v>2.52</v>
      </c>
      <c r="D35" s="3">
        <v>330</v>
      </c>
      <c r="E35" s="19">
        <v>831.6</v>
      </c>
      <c r="F35" s="16">
        <v>10</v>
      </c>
      <c r="G35" s="16">
        <v>3180.56</v>
      </c>
      <c r="H35" s="16">
        <v>289.4303</v>
      </c>
      <c r="I35" s="16">
        <v>3180.56</v>
      </c>
      <c r="J35" s="20">
        <v>0.2876</v>
      </c>
      <c r="K35" s="20">
        <v>0.7124</v>
      </c>
    </row>
    <row r="36">
      <c r="A36" s="3" t="s">
        <v>70</v>
      </c>
      <c r="B36" s="14" t="s">
        <v>71</v>
      </c>
      <c r="C36" s="15">
        <v>3.4</v>
      </c>
      <c r="D36" s="3">
        <v>167</v>
      </c>
      <c r="E36" s="19">
        <v>567.8</v>
      </c>
      <c r="F36" s="16">
        <v>12</v>
      </c>
      <c r="G36" s="16">
        <v>1983.49</v>
      </c>
      <c r="H36" s="16">
        <v>180.4967</v>
      </c>
      <c r="I36" s="16">
        <v>1983.49</v>
      </c>
      <c r="J36" s="20">
        <v>0.3149</v>
      </c>
      <c r="K36" s="20">
        <v>0.6851</v>
      </c>
    </row>
    <row r="37">
      <c r="A37" s="3" t="s">
        <v>72</v>
      </c>
      <c r="B37" s="14" t="s">
        <v>73</v>
      </c>
      <c r="C37" s="15">
        <v>5.95</v>
      </c>
      <c r="D37" s="3">
        <v>50</v>
      </c>
      <c r="E37" s="19">
        <v>297.5</v>
      </c>
      <c r="F37" s="16">
        <v>19</v>
      </c>
      <c r="G37" s="16">
        <v>947.78</v>
      </c>
      <c r="H37" s="16">
        <v>86.2479</v>
      </c>
      <c r="I37" s="16">
        <v>947.78</v>
      </c>
      <c r="J37" s="20">
        <v>0.3453</v>
      </c>
      <c r="K37" s="20">
        <v>0.6547</v>
      </c>
    </row>
    <row r="38">
      <c r="A38" s="3" t="s">
        <v>72</v>
      </c>
      <c r="B38" s="14" t="s">
        <v>73</v>
      </c>
      <c r="C38" s="15">
        <v>5.95</v>
      </c>
      <c r="D38" s="3">
        <v>2</v>
      </c>
      <c r="E38" s="19">
        <v>11.9</v>
      </c>
      <c r="F38" s="16">
        <v>0</v>
      </c>
      <c r="G38" s="16">
        <v>0</v>
      </c>
      <c r="H38" s="16">
        <v>0</v>
      </c>
      <c r="I38" s="16">
        <v>0</v>
      </c>
      <c r="J38" s="28" t="s">
        <v>22</v>
      </c>
      <c r="K38" s="28" t="s">
        <v>22</v>
      </c>
    </row>
    <row r="39">
      <c r="A39" s="3" t="s">
        <v>74</v>
      </c>
      <c r="B39" s="14" t="s">
        <v>75</v>
      </c>
      <c r="C39" s="15">
        <v>5.18</v>
      </c>
      <c r="D39" s="3">
        <v>1</v>
      </c>
      <c r="E39" s="19">
        <v>5.18</v>
      </c>
      <c r="F39" s="16">
        <v>0</v>
      </c>
      <c r="G39" s="16">
        <v>0</v>
      </c>
      <c r="H39" s="16">
        <v>0</v>
      </c>
      <c r="I39" s="16">
        <v>0</v>
      </c>
      <c r="J39" s="28" t="s">
        <v>22</v>
      </c>
      <c r="K39" s="28" t="s">
        <v>22</v>
      </c>
    </row>
    <row r="40">
      <c r="A40" s="3" t="s">
        <v>76</v>
      </c>
      <c r="B40" s="14" t="s">
        <v>21</v>
      </c>
      <c r="C40" s="15">
        <v>0</v>
      </c>
      <c r="D40" s="3">
        <v>38</v>
      </c>
      <c r="E40" s="19">
        <v>0</v>
      </c>
      <c r="F40" s="16">
        <v>0</v>
      </c>
      <c r="G40" s="16">
        <v>0</v>
      </c>
      <c r="H40" s="16">
        <v>0</v>
      </c>
      <c r="I40" s="16">
        <v>0</v>
      </c>
      <c r="J40" s="28" t="s">
        <v>22</v>
      </c>
      <c r="K40" s="28" t="s">
        <v>22</v>
      </c>
    </row>
    <row r="41">
      <c r="A41" s="3" t="s">
        <v>77</v>
      </c>
      <c r="B41" s="14" t="s">
        <v>78</v>
      </c>
      <c r="C41" s="15">
        <v>2.97</v>
      </c>
      <c r="D41" s="3">
        <v>63</v>
      </c>
      <c r="E41" s="19">
        <v>187.11</v>
      </c>
      <c r="F41" s="16">
        <v>12</v>
      </c>
      <c r="G41" s="16">
        <v>750.23</v>
      </c>
      <c r="H41" s="16">
        <v>68.2705</v>
      </c>
      <c r="I41" s="16">
        <v>750.23</v>
      </c>
      <c r="J41" s="20">
        <v>0.2744</v>
      </c>
      <c r="K41" s="20">
        <v>0.7256</v>
      </c>
    </row>
    <row r="42">
      <c r="A42" s="3" t="s">
        <v>79</v>
      </c>
      <c r="B42" s="14" t="s">
        <v>80</v>
      </c>
      <c r="C42" s="15">
        <v>4.1</v>
      </c>
      <c r="D42" s="3">
        <v>33</v>
      </c>
      <c r="E42" s="19">
        <v>135.29999999999998</v>
      </c>
      <c r="F42" s="16">
        <v>8</v>
      </c>
      <c r="G42" s="16">
        <v>264</v>
      </c>
      <c r="H42" s="16">
        <v>24.024</v>
      </c>
      <c r="I42" s="16">
        <v>264</v>
      </c>
      <c r="J42" s="20">
        <v>0.5638</v>
      </c>
      <c r="K42" s="20">
        <v>0.4362</v>
      </c>
    </row>
    <row r="43">
      <c r="A43" s="3" t="s">
        <v>81</v>
      </c>
      <c r="B43" s="14" t="s">
        <v>82</v>
      </c>
      <c r="C43" s="15">
        <v>1.61</v>
      </c>
      <c r="D43" s="3">
        <v>397</v>
      </c>
      <c r="E43" s="19">
        <v>639.17000000000007</v>
      </c>
      <c r="F43" s="16">
        <v>5</v>
      </c>
      <c r="G43" s="16">
        <v>1848</v>
      </c>
      <c r="H43" s="16">
        <v>167.258</v>
      </c>
      <c r="I43" s="16">
        <v>1838</v>
      </c>
      <c r="J43" s="20">
        <v>0.3826</v>
      </c>
      <c r="K43" s="20">
        <v>0.6174</v>
      </c>
    </row>
    <row r="44">
      <c r="A44" s="3" t="s">
        <v>83</v>
      </c>
      <c r="B44" s="14" t="s">
        <v>84</v>
      </c>
      <c r="C44" s="15">
        <v>7.1</v>
      </c>
      <c r="D44" s="3">
        <v>66</v>
      </c>
      <c r="E44" s="19">
        <v>468.59999999999997</v>
      </c>
      <c r="F44" s="16">
        <v>23</v>
      </c>
      <c r="G44" s="16">
        <v>1415.55</v>
      </c>
      <c r="H44" s="16">
        <v>126.7219</v>
      </c>
      <c r="I44" s="16">
        <v>1392.55</v>
      </c>
      <c r="J44" s="20">
        <v>0.3702</v>
      </c>
      <c r="K44" s="20">
        <v>0.6298</v>
      </c>
    </row>
    <row r="45">
      <c r="A45" s="3" t="s">
        <v>85</v>
      </c>
      <c r="B45" s="14" t="s">
        <v>86</v>
      </c>
      <c r="C45" s="15">
        <v>0.69</v>
      </c>
      <c r="D45" s="3">
        <v>7</v>
      </c>
      <c r="E45" s="19">
        <v>4.83</v>
      </c>
      <c r="F45" s="16">
        <v>3</v>
      </c>
      <c r="G45" s="16">
        <v>21</v>
      </c>
      <c r="H45" s="16">
        <v>1.911</v>
      </c>
      <c r="I45" s="16">
        <v>21</v>
      </c>
      <c r="J45" s="20">
        <v>0.253</v>
      </c>
      <c r="K45" s="20">
        <v>0.747</v>
      </c>
    </row>
    <row r="46">
      <c r="A46" s="3" t="s">
        <v>87</v>
      </c>
      <c r="B46" s="14" t="s">
        <v>75</v>
      </c>
      <c r="C46" s="15">
        <v>5.18</v>
      </c>
      <c r="D46" s="3">
        <v>30</v>
      </c>
      <c r="E46" s="19">
        <v>155.39999999999998</v>
      </c>
      <c r="F46" s="16">
        <v>17</v>
      </c>
      <c r="G46" s="16">
        <v>482.8</v>
      </c>
      <c r="H46" s="16">
        <v>43.9348</v>
      </c>
      <c r="I46" s="16">
        <v>482.8</v>
      </c>
      <c r="J46" s="20">
        <v>0.3541</v>
      </c>
      <c r="K46" s="20">
        <v>0.6459</v>
      </c>
    </row>
    <row r="47">
      <c r="A47" s="3" t="s">
        <v>88</v>
      </c>
      <c r="B47" s="14" t="s">
        <v>89</v>
      </c>
      <c r="C47" s="15">
        <v>6.85</v>
      </c>
      <c r="D47" s="3">
        <v>1</v>
      </c>
      <c r="E47" s="19">
        <v>6.85</v>
      </c>
      <c r="F47" s="16">
        <v>3</v>
      </c>
      <c r="G47" s="16">
        <v>3</v>
      </c>
      <c r="H47" s="16">
        <v>0.273</v>
      </c>
      <c r="I47" s="16">
        <v>3</v>
      </c>
      <c r="J47" s="20">
        <v>2.5119</v>
      </c>
      <c r="K47" s="20">
        <v>-1.5119</v>
      </c>
    </row>
    <row r="48">
      <c r="A48" s="3" t="s">
        <v>90</v>
      </c>
      <c r="B48" s="14" t="s">
        <v>91</v>
      </c>
      <c r="C48" s="15">
        <v>0.66</v>
      </c>
      <c r="D48" s="3">
        <v>19</v>
      </c>
      <c r="E48" s="19">
        <v>12.540000000000001</v>
      </c>
      <c r="F48" s="16">
        <v>3</v>
      </c>
      <c r="G48" s="16">
        <v>57</v>
      </c>
      <c r="H48" s="16">
        <v>5.187</v>
      </c>
      <c r="I48" s="16">
        <v>57</v>
      </c>
      <c r="J48" s="20">
        <v>0.242</v>
      </c>
      <c r="K48" s="20">
        <v>0.758</v>
      </c>
    </row>
    <row r="49">
      <c r="A49" s="3" t="s">
        <v>92</v>
      </c>
      <c r="B49" s="14" t="s">
        <v>93</v>
      </c>
      <c r="C49" s="15">
        <v>4.74</v>
      </c>
      <c r="D49" s="3">
        <v>453</v>
      </c>
      <c r="E49" s="19">
        <v>2147.2200000000003</v>
      </c>
      <c r="F49" s="16">
        <v>21</v>
      </c>
      <c r="G49" s="16">
        <v>9513</v>
      </c>
      <c r="H49" s="16">
        <v>865.683</v>
      </c>
      <c r="I49" s="16">
        <v>9513</v>
      </c>
      <c r="J49" s="20">
        <v>0.2483</v>
      </c>
      <c r="K49" s="20">
        <v>0.7517</v>
      </c>
    </row>
    <row r="50">
      <c r="A50" s="3" t="s">
        <v>94</v>
      </c>
      <c r="B50" s="14" t="s">
        <v>95</v>
      </c>
      <c r="C50" s="15">
        <v>4.51</v>
      </c>
      <c r="D50" s="3">
        <v>1</v>
      </c>
      <c r="E50" s="19">
        <v>4.51</v>
      </c>
      <c r="F50" s="16">
        <v>14</v>
      </c>
      <c r="G50" s="16">
        <v>14</v>
      </c>
      <c r="H50" s="16">
        <v>1.274</v>
      </c>
      <c r="I50" s="16">
        <v>14</v>
      </c>
      <c r="J50" s="20">
        <v>0.3544</v>
      </c>
      <c r="K50" s="20">
        <v>0.6456</v>
      </c>
    </row>
    <row r="51">
      <c r="A51" s="3" t="s">
        <v>96</v>
      </c>
      <c r="B51" s="14" t="s">
        <v>97</v>
      </c>
      <c r="C51" s="15">
        <v>3.59</v>
      </c>
      <c r="D51" s="3">
        <v>8</v>
      </c>
      <c r="E51" s="19">
        <v>28.72</v>
      </c>
      <c r="F51" s="16">
        <v>4</v>
      </c>
      <c r="G51" s="16">
        <v>32</v>
      </c>
      <c r="H51" s="16">
        <v>2.912</v>
      </c>
      <c r="I51" s="16">
        <v>32</v>
      </c>
      <c r="J51" s="20">
        <v>0.9873</v>
      </c>
      <c r="K51" s="20">
        <v>0.0127</v>
      </c>
    </row>
    <row r="52">
      <c r="A52" s="3" t="s">
        <v>98</v>
      </c>
      <c r="B52" s="14" t="s">
        <v>99</v>
      </c>
      <c r="C52" s="15">
        <v>2.77</v>
      </c>
      <c r="D52" s="3">
        <v>1</v>
      </c>
      <c r="E52" s="19">
        <v>2.77</v>
      </c>
      <c r="F52" s="16">
        <v>6.4</v>
      </c>
      <c r="G52" s="16">
        <v>6.4</v>
      </c>
      <c r="H52" s="16">
        <v>0.5824</v>
      </c>
      <c r="I52" s="16">
        <v>6.4</v>
      </c>
      <c r="J52" s="20">
        <v>0.4761</v>
      </c>
      <c r="K52" s="20">
        <v>0.5239</v>
      </c>
    </row>
    <row r="53">
      <c r="A53" s="3" t="s">
        <v>100</v>
      </c>
      <c r="B53" s="14" t="s">
        <v>21</v>
      </c>
      <c r="C53" s="15">
        <v>0</v>
      </c>
      <c r="D53" s="3">
        <v>1</v>
      </c>
      <c r="E53" s="19">
        <v>0</v>
      </c>
      <c r="F53" s="16">
        <v>3.5</v>
      </c>
      <c r="G53" s="16">
        <v>3.5</v>
      </c>
      <c r="H53" s="16">
        <v>0.3185</v>
      </c>
      <c r="I53" s="16">
        <v>3.5</v>
      </c>
      <c r="J53" s="28" t="s">
        <v>22</v>
      </c>
      <c r="K53" s="28" t="s">
        <v>22</v>
      </c>
    </row>
    <row r="54">
      <c r="A54" s="3" t="s">
        <v>101</v>
      </c>
      <c r="B54" s="14" t="s">
        <v>102</v>
      </c>
      <c r="C54" s="15">
        <v>6.06</v>
      </c>
      <c r="D54" s="3">
        <v>115</v>
      </c>
      <c r="E54" s="19">
        <v>696.9</v>
      </c>
      <c r="F54" s="16">
        <v>25</v>
      </c>
      <c r="G54" s="16">
        <v>2875</v>
      </c>
      <c r="H54" s="16">
        <v>261.625</v>
      </c>
      <c r="I54" s="16">
        <v>2875</v>
      </c>
      <c r="J54" s="20">
        <v>0.2667</v>
      </c>
      <c r="K54" s="20">
        <v>0.7333</v>
      </c>
    </row>
    <row r="55">
      <c r="A55" s="3" t="s">
        <v>103</v>
      </c>
      <c r="B55" s="14" t="s">
        <v>104</v>
      </c>
      <c r="C55" s="15">
        <v>3.02</v>
      </c>
      <c r="D55" s="3">
        <v>76</v>
      </c>
      <c r="E55" s="19">
        <v>229.52</v>
      </c>
      <c r="F55" s="16">
        <v>10</v>
      </c>
      <c r="G55" s="16">
        <v>760</v>
      </c>
      <c r="H55" s="16">
        <v>69.16</v>
      </c>
      <c r="I55" s="16">
        <v>760</v>
      </c>
      <c r="J55" s="20">
        <v>0.3322</v>
      </c>
      <c r="K55" s="20">
        <v>0.6678</v>
      </c>
    </row>
    <row r="56">
      <c r="A56" s="3" t="s">
        <v>105</v>
      </c>
      <c r="B56" s="14" t="s">
        <v>106</v>
      </c>
      <c r="C56" s="15">
        <v>3.65</v>
      </c>
      <c r="D56" s="3">
        <v>89</v>
      </c>
      <c r="E56" s="19">
        <v>324.84999999999997</v>
      </c>
      <c r="F56" s="16">
        <v>15</v>
      </c>
      <c r="G56" s="16">
        <v>1335</v>
      </c>
      <c r="H56" s="16">
        <v>121.485</v>
      </c>
      <c r="I56" s="16">
        <v>1335</v>
      </c>
      <c r="J56" s="20">
        <v>0.2677</v>
      </c>
      <c r="K56" s="20">
        <v>0.7323</v>
      </c>
    </row>
    <row r="57">
      <c r="A57" s="3" t="s">
        <v>107</v>
      </c>
      <c r="B57" s="14" t="s">
        <v>108</v>
      </c>
      <c r="C57" s="15">
        <v>5.69</v>
      </c>
      <c r="D57" s="3">
        <v>92</v>
      </c>
      <c r="E57" s="19">
        <v>523.48</v>
      </c>
      <c r="F57" s="16">
        <v>24</v>
      </c>
      <c r="G57" s="16">
        <v>2208</v>
      </c>
      <c r="H57" s="16">
        <v>200.928</v>
      </c>
      <c r="I57" s="16">
        <v>2208</v>
      </c>
      <c r="J57" s="20">
        <v>0.2608</v>
      </c>
      <c r="K57" s="20">
        <v>0.7392</v>
      </c>
    </row>
    <row r="58">
      <c r="A58" s="3" t="s">
        <v>109</v>
      </c>
      <c r="B58" s="14" t="s">
        <v>110</v>
      </c>
      <c r="C58" s="15">
        <v>5.47</v>
      </c>
      <c r="D58" s="3">
        <v>5</v>
      </c>
      <c r="E58" s="19">
        <v>27.349999999999998</v>
      </c>
      <c r="F58" s="16">
        <v>25</v>
      </c>
      <c r="G58" s="16">
        <v>125</v>
      </c>
      <c r="H58" s="16">
        <v>11.375</v>
      </c>
      <c r="I58" s="16">
        <v>125</v>
      </c>
      <c r="J58" s="20">
        <v>0.2407</v>
      </c>
      <c r="K58" s="20">
        <v>0.7593</v>
      </c>
    </row>
    <row r="59">
      <c r="A59" s="3" t="s">
        <v>111</v>
      </c>
      <c r="B59" s="14" t="s">
        <v>21</v>
      </c>
      <c r="C59" s="15">
        <v>0</v>
      </c>
      <c r="D59" s="3">
        <v>40</v>
      </c>
      <c r="E59" s="19">
        <v>0</v>
      </c>
      <c r="F59" s="16">
        <v>3.5</v>
      </c>
      <c r="G59" s="16">
        <v>140</v>
      </c>
      <c r="H59" s="16">
        <v>12.74</v>
      </c>
      <c r="I59" s="16">
        <v>140</v>
      </c>
      <c r="J59" s="28" t="s">
        <v>22</v>
      </c>
      <c r="K59" s="28" t="s">
        <v>22</v>
      </c>
    </row>
    <row r="60">
      <c r="A60" s="3" t="s">
        <v>112</v>
      </c>
      <c r="B60" s="14" t="s">
        <v>113</v>
      </c>
      <c r="C60" s="15">
        <v>5.22</v>
      </c>
      <c r="D60" s="3">
        <v>11</v>
      </c>
      <c r="E60" s="19">
        <v>57.419999999999995</v>
      </c>
      <c r="F60" s="16">
        <v>24</v>
      </c>
      <c r="G60" s="16">
        <v>264</v>
      </c>
      <c r="H60" s="16">
        <v>24.024</v>
      </c>
      <c r="I60" s="16">
        <v>264</v>
      </c>
      <c r="J60" s="20">
        <v>0.2393</v>
      </c>
      <c r="K60" s="20">
        <v>0.7607</v>
      </c>
    </row>
    <row r="61">
      <c r="A61" s="3" t="s">
        <v>114</v>
      </c>
      <c r="B61" s="14" t="s">
        <v>115</v>
      </c>
      <c r="C61" s="15">
        <v>4.1</v>
      </c>
      <c r="D61" s="3">
        <v>83</v>
      </c>
      <c r="E61" s="19">
        <v>340.29999999999995</v>
      </c>
      <c r="F61" s="16">
        <v>10</v>
      </c>
      <c r="G61" s="16">
        <v>830</v>
      </c>
      <c r="H61" s="16">
        <v>75.53</v>
      </c>
      <c r="I61" s="16">
        <v>830</v>
      </c>
      <c r="J61" s="20">
        <v>0.451</v>
      </c>
      <c r="K61" s="20">
        <v>0.549</v>
      </c>
    </row>
    <row r="62">
      <c r="A62" s="3" t="s">
        <v>116</v>
      </c>
      <c r="B62" s="14" t="s">
        <v>117</v>
      </c>
      <c r="C62" s="15">
        <v>2.52</v>
      </c>
      <c r="D62" s="3">
        <v>212</v>
      </c>
      <c r="E62" s="19">
        <v>534.24</v>
      </c>
      <c r="F62" s="16">
        <v>11.207547169811322</v>
      </c>
      <c r="G62" s="16">
        <v>2376</v>
      </c>
      <c r="H62" s="16">
        <v>216.216</v>
      </c>
      <c r="I62" s="16">
        <v>2376</v>
      </c>
      <c r="J62" s="20">
        <v>0.2474</v>
      </c>
      <c r="K62" s="20">
        <v>0.7526</v>
      </c>
    </row>
    <row r="63">
      <c r="A63" s="3" t="s">
        <v>118</v>
      </c>
      <c r="B63" s="14" t="s">
        <v>119</v>
      </c>
      <c r="C63" s="15">
        <v>3.4</v>
      </c>
      <c r="D63" s="3">
        <v>83</v>
      </c>
      <c r="E63" s="19">
        <v>282.2</v>
      </c>
      <c r="F63" s="16">
        <v>14</v>
      </c>
      <c r="G63" s="16">
        <v>1162</v>
      </c>
      <c r="H63" s="16">
        <v>105.742</v>
      </c>
      <c r="I63" s="16">
        <v>1162</v>
      </c>
      <c r="J63" s="20">
        <v>0.2672</v>
      </c>
      <c r="K63" s="20">
        <v>0.7328</v>
      </c>
    </row>
    <row r="64">
      <c r="A64" s="3" t="s">
        <v>120</v>
      </c>
      <c r="B64" s="14" t="s">
        <v>121</v>
      </c>
      <c r="C64" s="15">
        <v>2.97</v>
      </c>
      <c r="D64" s="3">
        <v>44</v>
      </c>
      <c r="E64" s="19">
        <v>130.68</v>
      </c>
      <c r="F64" s="16">
        <v>14</v>
      </c>
      <c r="G64" s="16">
        <v>616</v>
      </c>
      <c r="H64" s="16">
        <v>56.056</v>
      </c>
      <c r="I64" s="16">
        <v>616</v>
      </c>
      <c r="J64" s="20">
        <v>0.2334</v>
      </c>
      <c r="K64" s="20">
        <v>0.7666</v>
      </c>
    </row>
    <row r="65">
      <c r="A65" s="3" t="s">
        <v>122</v>
      </c>
      <c r="B65" s="14" t="s">
        <v>82</v>
      </c>
      <c r="C65" s="15">
        <v>1.61</v>
      </c>
      <c r="D65" s="3">
        <v>243</v>
      </c>
      <c r="E65" s="19">
        <v>391.23</v>
      </c>
      <c r="F65" s="16">
        <v>7</v>
      </c>
      <c r="G65" s="16">
        <v>1701</v>
      </c>
      <c r="H65" s="16">
        <v>154.791</v>
      </c>
      <c r="I65" s="16">
        <v>1701</v>
      </c>
      <c r="J65" s="20">
        <v>0.253</v>
      </c>
      <c r="K65" s="20">
        <v>0.747</v>
      </c>
    </row>
    <row r="66">
      <c r="A66" s="3" t="s">
        <v>123</v>
      </c>
      <c r="B66" s="14" t="s">
        <v>86</v>
      </c>
      <c r="C66" s="15">
        <v>0.69</v>
      </c>
      <c r="D66" s="3">
        <v>13</v>
      </c>
      <c r="E66" s="19">
        <v>8.9699999999999989</v>
      </c>
      <c r="F66" s="16">
        <v>3.5</v>
      </c>
      <c r="G66" s="16">
        <v>45.5</v>
      </c>
      <c r="H66" s="16">
        <v>4.1405</v>
      </c>
      <c r="I66" s="16">
        <v>45.5</v>
      </c>
      <c r="J66" s="20">
        <v>0.2169</v>
      </c>
      <c r="K66" s="20">
        <v>0.7831</v>
      </c>
    </row>
    <row r="67">
      <c r="A67" s="3" t="s">
        <v>124</v>
      </c>
      <c r="B67" s="14" t="s">
        <v>125</v>
      </c>
      <c r="C67" s="15">
        <v>5.18</v>
      </c>
      <c r="D67" s="3">
        <v>14</v>
      </c>
      <c r="E67" s="19">
        <v>72.52</v>
      </c>
      <c r="F67" s="16">
        <v>21</v>
      </c>
      <c r="G67" s="16">
        <v>294</v>
      </c>
      <c r="H67" s="16">
        <v>26.754</v>
      </c>
      <c r="I67" s="16">
        <v>294</v>
      </c>
      <c r="J67" s="20">
        <v>0.2714</v>
      </c>
      <c r="K67" s="20">
        <v>0.7286</v>
      </c>
    </row>
    <row r="68">
      <c r="A68" s="3" t="s">
        <v>126</v>
      </c>
      <c r="B68" s="14" t="s">
        <v>91</v>
      </c>
      <c r="C68" s="15">
        <v>0.66</v>
      </c>
      <c r="D68" s="3">
        <v>50</v>
      </c>
      <c r="E68" s="19">
        <v>33</v>
      </c>
      <c r="F68" s="16">
        <v>3.5</v>
      </c>
      <c r="G68" s="16">
        <v>175</v>
      </c>
      <c r="H68" s="16">
        <v>15.925</v>
      </c>
      <c r="I68" s="16">
        <v>175</v>
      </c>
      <c r="J68" s="20">
        <v>0.2074</v>
      </c>
      <c r="K68" s="20">
        <v>0.7926</v>
      </c>
    </row>
    <row r="69">
      <c r="A69" s="3" t="s">
        <v>127</v>
      </c>
      <c r="B69" s="14" t="s">
        <v>128</v>
      </c>
      <c r="C69" s="15">
        <v>5.26</v>
      </c>
      <c r="D69" s="3">
        <v>294</v>
      </c>
      <c r="E69" s="19">
        <v>1546.4399999999998</v>
      </c>
      <c r="F69" s="16">
        <v>24</v>
      </c>
      <c r="G69" s="16">
        <v>7056</v>
      </c>
      <c r="H69" s="16">
        <v>642.096</v>
      </c>
      <c r="I69" s="16">
        <v>7056</v>
      </c>
      <c r="J69" s="20">
        <v>0.2411</v>
      </c>
      <c r="K69" s="20">
        <v>0.7589</v>
      </c>
    </row>
    <row r="70">
      <c r="A70" s="3" t="s">
        <v>129</v>
      </c>
      <c r="B70" s="14" t="s">
        <v>130</v>
      </c>
      <c r="C70" s="15">
        <v>3.2</v>
      </c>
      <c r="D70" s="3">
        <v>183</v>
      </c>
      <c r="E70" s="19">
        <v>585.6</v>
      </c>
      <c r="F70" s="16">
        <v>14</v>
      </c>
      <c r="G70" s="16">
        <v>2562</v>
      </c>
      <c r="H70" s="16">
        <v>233.142</v>
      </c>
      <c r="I70" s="16">
        <v>2562</v>
      </c>
      <c r="J70" s="20">
        <v>0.2515</v>
      </c>
      <c r="K70" s="20">
        <v>0.7485</v>
      </c>
    </row>
    <row r="71">
      <c r="A71" s="3" t="s">
        <v>131</v>
      </c>
      <c r="B71" s="14" t="s">
        <v>89</v>
      </c>
      <c r="C71" s="15">
        <v>6.85</v>
      </c>
      <c r="D71" s="3">
        <v>118</v>
      </c>
      <c r="E71" s="19">
        <v>808.3</v>
      </c>
      <c r="F71" s="16">
        <v>25</v>
      </c>
      <c r="G71" s="16">
        <v>2950</v>
      </c>
      <c r="H71" s="16">
        <v>268.45</v>
      </c>
      <c r="I71" s="16">
        <v>2950</v>
      </c>
      <c r="J71" s="20">
        <v>0.3014</v>
      </c>
      <c r="K71" s="20">
        <v>0.6986</v>
      </c>
    </row>
    <row r="72">
      <c r="A72" s="3" t="s">
        <v>132</v>
      </c>
      <c r="B72" s="14" t="s">
        <v>133</v>
      </c>
      <c r="C72" s="15">
        <v>1.02</v>
      </c>
      <c r="D72" s="3">
        <v>93</v>
      </c>
      <c r="E72" s="19">
        <v>94.86</v>
      </c>
      <c r="F72" s="16">
        <v>3.5</v>
      </c>
      <c r="G72" s="16">
        <v>325.5</v>
      </c>
      <c r="H72" s="16">
        <v>29.6205</v>
      </c>
      <c r="I72" s="16">
        <v>325.5</v>
      </c>
      <c r="J72" s="20">
        <v>0.3206</v>
      </c>
      <c r="K72" s="20">
        <v>0.6794</v>
      </c>
    </row>
    <row r="73">
      <c r="A73" s="3" t="s">
        <v>134</v>
      </c>
      <c r="B73" s="14" t="s">
        <v>21</v>
      </c>
      <c r="C73" s="15">
        <v>0</v>
      </c>
      <c r="D73" s="3">
        <v>76</v>
      </c>
      <c r="E73" s="19">
        <v>0</v>
      </c>
      <c r="F73" s="16">
        <v>3.5</v>
      </c>
      <c r="G73" s="16">
        <v>266</v>
      </c>
      <c r="H73" s="16">
        <v>24.206</v>
      </c>
      <c r="I73" s="16">
        <v>266</v>
      </c>
      <c r="J73" s="28" t="s">
        <v>22</v>
      </c>
      <c r="K73" s="28" t="s">
        <v>22</v>
      </c>
    </row>
    <row r="74">
      <c r="A74" s="3" t="s">
        <v>135</v>
      </c>
      <c r="B74" s="14" t="s">
        <v>136</v>
      </c>
      <c r="C74" s="15">
        <v>6.23</v>
      </c>
      <c r="D74" s="3">
        <v>112</v>
      </c>
      <c r="E74" s="19">
        <v>697.76</v>
      </c>
      <c r="F74" s="16">
        <v>23</v>
      </c>
      <c r="G74" s="16">
        <v>2456.88</v>
      </c>
      <c r="H74" s="16">
        <v>223.576</v>
      </c>
      <c r="I74" s="16">
        <v>2456.88</v>
      </c>
      <c r="J74" s="20">
        <v>0.3124</v>
      </c>
      <c r="K74" s="20">
        <v>0.6876</v>
      </c>
    </row>
    <row r="75">
      <c r="A75" s="3" t="s">
        <v>135</v>
      </c>
      <c r="B75" s="14" t="s">
        <v>136</v>
      </c>
      <c r="C75" s="15">
        <v>6.23</v>
      </c>
      <c r="D75" s="3">
        <v>3</v>
      </c>
      <c r="E75" s="19">
        <v>18.69</v>
      </c>
      <c r="F75" s="16">
        <v>0</v>
      </c>
      <c r="G75" s="16">
        <v>0</v>
      </c>
      <c r="H75" s="16">
        <v>0</v>
      </c>
      <c r="I75" s="16">
        <v>0</v>
      </c>
      <c r="J75" s="28" t="s">
        <v>22</v>
      </c>
      <c r="K75" s="28" t="s">
        <v>22</v>
      </c>
    </row>
    <row r="76">
      <c r="A76" s="3" t="s">
        <v>137</v>
      </c>
      <c r="B76" s="14" t="s">
        <v>46</v>
      </c>
      <c r="C76" s="15">
        <v>5.26</v>
      </c>
      <c r="D76" s="3">
        <v>446</v>
      </c>
      <c r="E76" s="19">
        <v>2345.96</v>
      </c>
      <c r="F76" s="16">
        <v>17.23318385650224</v>
      </c>
      <c r="G76" s="16">
        <v>7289.5</v>
      </c>
      <c r="H76" s="16">
        <v>663.3444</v>
      </c>
      <c r="I76" s="16">
        <v>7289.5</v>
      </c>
      <c r="J76" s="20">
        <v>0.354</v>
      </c>
      <c r="K76" s="20">
        <v>0.646</v>
      </c>
    </row>
    <row r="77">
      <c r="A77" s="3" t="s">
        <v>138</v>
      </c>
      <c r="B77" s="14" t="s">
        <v>63</v>
      </c>
      <c r="C77" s="15">
        <v>3.2</v>
      </c>
      <c r="D77" s="3">
        <v>127</v>
      </c>
      <c r="E77" s="19">
        <v>406.40000000000003</v>
      </c>
      <c r="F77" s="16">
        <v>12</v>
      </c>
      <c r="G77" s="16">
        <v>1404</v>
      </c>
      <c r="H77" s="16">
        <v>127.764</v>
      </c>
      <c r="I77" s="16">
        <v>1404</v>
      </c>
      <c r="J77" s="20">
        <v>0.3184</v>
      </c>
      <c r="K77" s="20">
        <v>0.6816</v>
      </c>
    </row>
    <row r="78">
      <c r="A78" s="3" t="s">
        <v>139</v>
      </c>
      <c r="B78" s="14" t="s">
        <v>89</v>
      </c>
      <c r="C78" s="15">
        <v>6.85</v>
      </c>
      <c r="D78" s="3">
        <v>123</v>
      </c>
      <c r="E78" s="19">
        <v>842.55</v>
      </c>
      <c r="F78" s="16">
        <v>19</v>
      </c>
      <c r="G78" s="16">
        <v>2171.74</v>
      </c>
      <c r="H78" s="16">
        <v>197.6281</v>
      </c>
      <c r="I78" s="16">
        <v>2171.74</v>
      </c>
      <c r="J78" s="20">
        <v>0.4268</v>
      </c>
      <c r="K78" s="20">
        <v>0.5732</v>
      </c>
    </row>
    <row r="79">
      <c r="A79" s="3" t="s">
        <v>140</v>
      </c>
      <c r="B79" s="14" t="s">
        <v>141</v>
      </c>
      <c r="C79" s="15">
        <v>8.06</v>
      </c>
      <c r="D79" s="3">
        <v>87</v>
      </c>
      <c r="E79" s="19">
        <v>701.22</v>
      </c>
      <c r="F79" s="16">
        <v>25</v>
      </c>
      <c r="G79" s="16">
        <v>1993.72</v>
      </c>
      <c r="H79" s="16">
        <v>181.4284</v>
      </c>
      <c r="I79" s="16">
        <v>1993.72</v>
      </c>
      <c r="J79" s="20">
        <v>0.3869</v>
      </c>
      <c r="K79" s="20">
        <v>0.6131</v>
      </c>
    </row>
    <row r="80">
      <c r="A80" s="3" t="s">
        <v>142</v>
      </c>
      <c r="B80" s="14" t="s">
        <v>141</v>
      </c>
      <c r="C80" s="15">
        <v>8.06</v>
      </c>
      <c r="D80" s="3">
        <v>2</v>
      </c>
      <c r="E80" s="19">
        <v>16.12</v>
      </c>
      <c r="F80" s="16">
        <v>0</v>
      </c>
      <c r="G80" s="16">
        <v>0</v>
      </c>
      <c r="H80" s="16">
        <v>0</v>
      </c>
      <c r="I80" s="16">
        <v>0</v>
      </c>
      <c r="J80" s="28" t="s">
        <v>22</v>
      </c>
      <c r="K80" s="28" t="s">
        <v>22</v>
      </c>
    </row>
    <row r="81">
      <c r="A81" s="3" t="s">
        <v>143</v>
      </c>
      <c r="B81" s="14" t="s">
        <v>133</v>
      </c>
      <c r="C81" s="15">
        <v>1.02</v>
      </c>
      <c r="D81" s="3">
        <v>45</v>
      </c>
      <c r="E81" s="19">
        <v>45.9</v>
      </c>
      <c r="F81" s="16">
        <v>3</v>
      </c>
      <c r="G81" s="16">
        <v>132</v>
      </c>
      <c r="H81" s="16">
        <v>12.012</v>
      </c>
      <c r="I81" s="16">
        <v>132</v>
      </c>
      <c r="J81" s="20">
        <v>0.3825</v>
      </c>
      <c r="K81" s="20">
        <v>0.6175</v>
      </c>
    </row>
    <row r="82">
      <c r="A82" s="3" t="s">
        <v>144</v>
      </c>
      <c r="B82" s="14" t="s">
        <v>21</v>
      </c>
      <c r="C82" s="15">
        <v>0</v>
      </c>
      <c r="D82" s="3">
        <v>24</v>
      </c>
      <c r="E82" s="19">
        <v>0</v>
      </c>
      <c r="F82" s="16">
        <v>3</v>
      </c>
      <c r="G82" s="16">
        <v>71.7</v>
      </c>
      <c r="H82" s="16">
        <v>6.5247</v>
      </c>
      <c r="I82" s="16">
        <v>71.7</v>
      </c>
      <c r="J82" s="28" t="s">
        <v>22</v>
      </c>
      <c r="K82" s="28" t="s">
        <v>22</v>
      </c>
    </row>
    <row r="83">
      <c r="A83" s="3" t="s">
        <v>145</v>
      </c>
      <c r="B83" s="14" t="s">
        <v>40</v>
      </c>
      <c r="C83" s="15">
        <v>3.65</v>
      </c>
      <c r="D83" s="3">
        <v>3</v>
      </c>
      <c r="E83" s="19">
        <v>10.95</v>
      </c>
      <c r="F83" s="16">
        <v>10.9</v>
      </c>
      <c r="G83" s="16">
        <v>32.7</v>
      </c>
      <c r="H83" s="16">
        <v>2.9757</v>
      </c>
      <c r="I83" s="16">
        <v>32.7</v>
      </c>
      <c r="J83" s="20">
        <v>0.3684</v>
      </c>
      <c r="K83" s="20">
        <v>0.6316</v>
      </c>
    </row>
    <row r="84">
      <c r="A84" s="3"/>
      <c r="B84" s="14"/>
      <c r="C84" s="15"/>
      <c r="D84" s="3"/>
      <c r="E84" s="19"/>
      <c r="F84" s="16"/>
      <c r="G84" s="16"/>
      <c r="H84" s="16"/>
      <c r="I84" s="16"/>
      <c r="J84" s="20"/>
      <c r="K84" s="20"/>
    </row>
    <row r="85" ht="15.75" s="3" customFormat="1">
      <c r="A85" s="22" t="s">
        <v>146</v>
      </c>
      <c r="B85" s="23"/>
      <c r="C85" s="27"/>
      <c r="D85" s="27"/>
      <c r="E85" s="24">
        <f>SUM(E7:E84)</f>
        <v>0</v>
      </c>
      <c r="F85" s="22"/>
      <c r="G85" s="22"/>
      <c r="H85" s="22"/>
      <c r="I85" s="24">
        <f>SUM(I7:I84)</f>
        <v>0</v>
      </c>
      <c r="J85" s="25" t="e">
        <f>E85/(I85/1.1)</f>
        <v>#DIV/0!</v>
      </c>
      <c r="K85" s="26" t="e">
        <f>1-J85</f>
        <v>#DIV/0!</v>
      </c>
    </row>
  </sheetData>
  <sortState ref="A7:K34">
    <sortCondition ref="C7:C34"/>
  </sortState>
  <mergeCells>
    <mergeCell ref="C85:D85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