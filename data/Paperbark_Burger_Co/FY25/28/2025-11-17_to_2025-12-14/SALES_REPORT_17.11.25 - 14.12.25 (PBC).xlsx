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<sst xmlns="http://schemas.openxmlformats.org/spreadsheetml/2006/main" count="148" uniqueCount="148">
  <si>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SALES DETAIL BREAKDOWN</t>
  </si>
  <si>
    <t>Venue:</t>
  </si>
  <si>
    <t/>
  </si>
  <si>
    <t>From Date:</t>
  </si>
  <si>
    <t>17/11/2025</t>
  </si>
  <si>
    <t>To Date:</t>
  </si>
  <si>
    <t>14/12/2025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</si>
  <si>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</si>
  <si>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</si>
  <si>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</si>
  <si>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</si>
  <si>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</si>
  <si>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</si>
  <si>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</si>
  <si>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</si>
  <si>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</si>
  <si>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</si>
  <si>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</si>
  <si>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THE PAPERBARK </t>
  </si>
  <si>
    <t>Paperbark Burger (PBC) - Dish</t>
  </si>
  <si>
    <t>(**FAM DEAL**)</t>
  </si>
  <si>
    <t>None</t>
  </si>
  <si>
    <t>⚠️</t>
  </si>
  <si>
    <t>(**WINGS WEDNESDAY**)</t>
  </si>
  <si>
    <t>+CHIX SALT</t>
  </si>
  <si>
    <t>Paperbark Chip Salt (PBC) - Recipe</t>
  </si>
  <si>
    <t>+NORMAL SALT</t>
  </si>
  <si>
    <t>A1 HABANERO HONEY</t>
  </si>
  <si>
    <t>Habanero Honey (PBC) - Sauce</t>
  </si>
  <si>
    <t>A1 REAPER BBQ</t>
  </si>
  <si>
    <t>Reaper BBQ (PBC) - Sauce</t>
  </si>
  <si>
    <t>A1 SMOKED SRIRACHA</t>
  </si>
  <si>
    <t>Smoked Sriracha (PBC) - Sauce</t>
  </si>
  <si>
    <t>AUSSIE AF</t>
  </si>
  <si>
    <t xml:space="preserve">Aussie As Fuck (PBC) - Dish </t>
  </si>
  <si>
    <t>BACON MY HEART</t>
  </si>
  <si>
    <t>Don't Go Bacon My Heart (PBC) - Dish</t>
  </si>
  <si>
    <t>BLUE CHEESE RANCH</t>
  </si>
  <si>
    <t>Ranch (PBC) - Sauce</t>
  </si>
  <si>
    <t>CHICKEN THIGH (1)</t>
  </si>
  <si>
    <t>Chicken Thigh (PBC) - Dish</t>
  </si>
  <si>
    <t>CHICKEN WINGS (6)</t>
  </si>
  <si>
    <t>Chicken Wings (PBC) - Dish</t>
  </si>
  <si>
    <t xml:space="preserve">CHIPOTLE SAUCE </t>
  </si>
  <si>
    <t>Add Chipotle Ketchup (TMG) - Modifier</t>
  </si>
  <si>
    <t>CLASSIC BRG</t>
  </si>
  <si>
    <t>The Classic (PBC) - Dish</t>
  </si>
  <si>
    <t>COMEBACK CHICKEN</t>
  </si>
  <si>
    <t>Comeback Chicken (PBC) - Dish</t>
  </si>
  <si>
    <t>COMEBACK FRIED SHROOM</t>
  </si>
  <si>
    <t>Comeback Fried Mushroom (PBC) - Dish</t>
  </si>
  <si>
    <t>Dine In</t>
  </si>
  <si>
    <t>DONT GO BACON MY HEART</t>
  </si>
  <si>
    <t>DONT HAVE A COW</t>
  </si>
  <si>
    <t>Don't Have a Cow Man (PBC) - Dish</t>
  </si>
  <si>
    <t>Down Under</t>
  </si>
  <si>
    <t>FAMILY DEAL</t>
  </si>
  <si>
    <t>GARLIC MAYO</t>
  </si>
  <si>
    <t>GRILLED CHICK No</t>
  </si>
  <si>
    <t>Grilled Chick (PBC) - Dish</t>
  </si>
  <si>
    <t>GRILLED CKN BURGER</t>
  </si>
  <si>
    <t>LOADED KIMCHI FRIES</t>
  </si>
  <si>
    <t>Asian Loaded Fries (PBC) - Dish</t>
  </si>
  <si>
    <t>LOADED PULL BEEF FRIES</t>
  </si>
  <si>
    <t>Beef Loaded Fries (PBC) - Dish</t>
  </si>
  <si>
    <t>LRG FRIES</t>
  </si>
  <si>
    <t>Chips, Large (PBC) - Dish</t>
  </si>
  <si>
    <t>MINIBARK &amp; CHIPS</t>
  </si>
  <si>
    <t>Mini Bark (PBC) - Dish</t>
  </si>
  <si>
    <t>MOTHER CLUCKER</t>
  </si>
  <si>
    <t>Mother Clucker (PBC) - Dish</t>
  </si>
  <si>
    <t>Never Tear Aus Apart</t>
  </si>
  <si>
    <t>NO TOMATO SAUCE</t>
  </si>
  <si>
    <t>NUGGIES &amp; CHIPS</t>
  </si>
  <si>
    <t>Kids Nuggets (PBC) - Dish</t>
  </si>
  <si>
    <t>POPPERS (2)</t>
  </si>
  <si>
    <t>Jalapeno Poppers, 2 (PBC) - Dish</t>
  </si>
  <si>
    <t>REG FRIES</t>
  </si>
  <si>
    <t xml:space="preserve">Chips Regular - Side (PBC) UBER </t>
  </si>
  <si>
    <t>SHREDDER</t>
  </si>
  <si>
    <t>The Shredder (PBC) - Dish</t>
  </si>
  <si>
    <t>SMOKY BBQ</t>
  </si>
  <si>
    <t>Smoky BBQ (PBC) - Sauce</t>
  </si>
  <si>
    <t>SMUSHROOM BURGER</t>
  </si>
  <si>
    <t>The Smushroom (PBC) - Dish</t>
  </si>
  <si>
    <t>SPICY COW</t>
  </si>
  <si>
    <t>Spicy Cow (PBC) - Dish</t>
  </si>
  <si>
    <t>SRIRACHA MAYO</t>
  </si>
  <si>
    <t>Sriracha Mayo (PBC) - Sauce</t>
  </si>
  <si>
    <t xml:space="preserve">T/A  THE PAPERBARK</t>
  </si>
  <si>
    <t xml:space="preserve">Paperbark Burger (PBC) - UBER </t>
  </si>
  <si>
    <t>T/A ADD CHICKEN</t>
  </si>
  <si>
    <t>Add Chicken Thigh (PBC) - Modifier</t>
  </si>
  <si>
    <t>T/A ADD EGG</t>
  </si>
  <si>
    <t>T/A ADD MUSHROOM</t>
  </si>
  <si>
    <t>Add Mushroom (TMG) - Modifier</t>
  </si>
  <si>
    <t>T/A AUSSIE AF</t>
  </si>
  <si>
    <t>Aussie As Fuck (PBC) - UBER</t>
  </si>
  <si>
    <t>T/A CHIX THIGH (1)</t>
  </si>
  <si>
    <t>Chicken Thigh - Side (PBC) UBER</t>
  </si>
  <si>
    <t>T/A CHIX WINGS (6)</t>
  </si>
  <si>
    <t>Chicken Wings - Side (PBC) UBER</t>
  </si>
  <si>
    <t>T/A COMEBACK CHICKEN</t>
  </si>
  <si>
    <t>Comeback Chicken (PBC) UBER</t>
  </si>
  <si>
    <t>T/A COMEBACK FRIED SHROOM</t>
  </si>
  <si>
    <t>T/A DONT HAVE A COW</t>
  </si>
  <si>
    <t>Dont have a Cow Man (PBC) UBER</t>
  </si>
  <si>
    <t>T/A FAMILY DEAL</t>
  </si>
  <si>
    <t>T/A GARLIC MAYO</t>
  </si>
  <si>
    <t>T/A GRILLED CHICK</t>
  </si>
  <si>
    <t>Grilled Chick (PBC) UBER</t>
  </si>
  <si>
    <t>T/A JALAPENO POPPERS</t>
  </si>
  <si>
    <t>Jalapeno Poppers - Side (PBC) UBER</t>
  </si>
  <si>
    <t>T/A LOADED KIMCHI FRIES</t>
  </si>
  <si>
    <t>T/A LOADED PULL BEEF FRIES</t>
  </si>
  <si>
    <t>T/A LRG FRIES</t>
  </si>
  <si>
    <t>Chips Large - Side (PBC) UBER</t>
  </si>
  <si>
    <t>T/A MINIBARK &amp; CHIPS</t>
  </si>
  <si>
    <t>Mini Bark (PBC) UBER</t>
  </si>
  <si>
    <t>T/A MOTHERCLUCKER</t>
  </si>
  <si>
    <t>T/A NUGGIES &amp; CHIPS</t>
  </si>
  <si>
    <t>Kids Nuggets (PBC) UBER</t>
  </si>
  <si>
    <t>T/A REG FRIES</t>
  </si>
  <si>
    <t>T/A SMOKEY BBQ</t>
  </si>
  <si>
    <t>T/A SMUSHROOM BURGER No5</t>
  </si>
  <si>
    <t>The Shushroom (PBC) UBER</t>
  </si>
  <si>
    <t>T/A SRIRACHA MAYO</t>
  </si>
  <si>
    <t>T/A THE CLASSIC</t>
  </si>
  <si>
    <t>The Classic (PBC) UBER</t>
  </si>
  <si>
    <t>T/A THE LILBARK</t>
  </si>
  <si>
    <t>Little Bark (PBC) UBER</t>
  </si>
  <si>
    <t>T/A THE SPICY COW</t>
  </si>
  <si>
    <t>T/A TRUFFLE MAYO</t>
  </si>
  <si>
    <t>Truffle Mayo (PBC) - Sauce</t>
  </si>
  <si>
    <t>T/A WB SAUCE</t>
  </si>
  <si>
    <t>THE BIG CHEESE</t>
  </si>
  <si>
    <t>The Big Cheese (PBC) - Dish</t>
  </si>
  <si>
    <t>THE CLASSIC</t>
  </si>
  <si>
    <t xml:space="preserve">THE LILBARK </t>
  </si>
  <si>
    <t>Little Bark (PBC) - Dish</t>
  </si>
  <si>
    <t>THE SPICY COW</t>
  </si>
  <si>
    <t xml:space="preserve">THE TRIBUTE </t>
  </si>
  <si>
    <t>The Tribute (PBC) - Dish</t>
  </si>
  <si>
    <t>TRIBUTE</t>
  </si>
  <si>
    <t>TRUFFLE MAYO</t>
  </si>
  <si>
    <t>WB SAUCE</t>
  </si>
  <si>
    <t>WINGS WEDNESDAY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</si>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</sst>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4.74</v>
      </c>
      <c r="D7" s="3">
        <v>265</v>
      </c>
      <c r="E7" s="19">
        <v>1256.1000000000001</v>
      </c>
      <c r="F7" s="16">
        <v>19.849056603773583</v>
      </c>
      <c r="G7" s="16">
        <v>5056</v>
      </c>
      <c r="H7" s="16">
        <v>460.096</v>
      </c>
      <c r="I7" s="16">
        <v>5056</v>
      </c>
      <c r="J7" s="20">
        <v>0.2733</v>
      </c>
      <c r="K7" s="20">
        <v>0.7267</v>
      </c>
    </row>
    <row r="8" s="3" customFormat="1">
      <c r="A8" s="3" t="s">
        <v>20</v>
      </c>
      <c r="B8" s="14" t="s">
        <v>21</v>
      </c>
      <c r="C8" s="15">
        <v>0</v>
      </c>
      <c r="D8" s="3">
        <v>13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21</v>
      </c>
      <c r="C9" s="15">
        <v>0</v>
      </c>
      <c r="D9" s="3">
        <v>3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22</v>
      </c>
      <c r="K9" s="28" t="s">
        <v>22</v>
      </c>
    </row>
    <row r="10" s="3" customFormat="1">
      <c r="A10" s="3" t="s">
        <v>24</v>
      </c>
      <c r="B10" s="14" t="s">
        <v>25</v>
      </c>
      <c r="C10" s="15">
        <v>101.36</v>
      </c>
      <c r="D10" s="3">
        <v>67</v>
      </c>
      <c r="E10" s="19">
        <v>6791.12</v>
      </c>
      <c r="F10" s="16">
        <v>0</v>
      </c>
      <c r="G10" s="16">
        <v>0</v>
      </c>
      <c r="H10" s="16">
        <v>0</v>
      </c>
      <c r="I10" s="16">
        <v>0</v>
      </c>
      <c r="J10" s="28" t="s">
        <v>22</v>
      </c>
      <c r="K10" s="28" t="s">
        <v>22</v>
      </c>
    </row>
    <row r="11" s="3" customFormat="1">
      <c r="A11" s="3" t="s">
        <v>26</v>
      </c>
      <c r="B11" s="14" t="s">
        <v>21</v>
      </c>
      <c r="C11" s="15">
        <v>0</v>
      </c>
      <c r="D11" s="3">
        <v>24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22</v>
      </c>
      <c r="K11" s="28" t="s">
        <v>22</v>
      </c>
    </row>
    <row r="12" s="3" customFormat="1">
      <c r="A12" s="3" t="s">
        <v>27</v>
      </c>
      <c r="B12" s="14" t="s">
        <v>28</v>
      </c>
      <c r="C12" s="15">
        <v>1.86</v>
      </c>
      <c r="D12" s="3">
        <v>11</v>
      </c>
      <c r="E12" s="19">
        <v>20.46</v>
      </c>
      <c r="F12" s="16">
        <v>3</v>
      </c>
      <c r="G12" s="16">
        <v>30.69</v>
      </c>
      <c r="H12" s="16">
        <v>2.7927</v>
      </c>
      <c r="I12" s="16">
        <v>30.69</v>
      </c>
      <c r="J12" s="20">
        <v>0.7334</v>
      </c>
      <c r="K12" s="20">
        <v>0.2666</v>
      </c>
    </row>
    <row r="13" s="3" customFormat="1">
      <c r="A13" s="3" t="s">
        <v>29</v>
      </c>
      <c r="B13" s="14" t="s">
        <v>30</v>
      </c>
      <c r="C13" s="15">
        <v>1.86</v>
      </c>
      <c r="D13" s="3">
        <v>1</v>
      </c>
      <c r="E13" s="19">
        <v>1.86</v>
      </c>
      <c r="F13" s="16">
        <v>3</v>
      </c>
      <c r="G13" s="16">
        <v>3</v>
      </c>
      <c r="H13" s="16">
        <v>0.273</v>
      </c>
      <c r="I13" s="16">
        <v>3</v>
      </c>
      <c r="J13" s="20">
        <v>0.6821</v>
      </c>
      <c r="K13" s="20">
        <v>0.3179</v>
      </c>
    </row>
    <row r="14" s="3" customFormat="1">
      <c r="A14" s="3" t="s">
        <v>31</v>
      </c>
      <c r="B14" s="14" t="s">
        <v>32</v>
      </c>
      <c r="C14" s="15">
        <v>1.53</v>
      </c>
      <c r="D14" s="3">
        <v>2</v>
      </c>
      <c r="E14" s="19">
        <v>3.06</v>
      </c>
      <c r="F14" s="16">
        <v>3</v>
      </c>
      <c r="G14" s="16">
        <v>6</v>
      </c>
      <c r="H14" s="16">
        <v>0.546</v>
      </c>
      <c r="I14" s="16">
        <v>6</v>
      </c>
      <c r="J14" s="20">
        <v>0.5611</v>
      </c>
      <c r="K14" s="20">
        <v>0.4389</v>
      </c>
    </row>
    <row r="15" s="3" customFormat="1">
      <c r="A15" s="3" t="s">
        <v>33</v>
      </c>
      <c r="B15" s="14" t="s">
        <v>34</v>
      </c>
      <c r="C15" s="15">
        <v>6.06</v>
      </c>
      <c r="D15" s="3">
        <v>133</v>
      </c>
      <c r="E15" s="19">
        <v>805.9799999999999</v>
      </c>
      <c r="F15" s="16">
        <v>23</v>
      </c>
      <c r="G15" s="16">
        <v>2943.5</v>
      </c>
      <c r="H15" s="16">
        <v>267.8584</v>
      </c>
      <c r="I15" s="16">
        <v>2943.5</v>
      </c>
      <c r="J15" s="20">
        <v>0.3012</v>
      </c>
      <c r="K15" s="20">
        <v>0.6988</v>
      </c>
    </row>
    <row r="16" s="3" customFormat="1">
      <c r="A16" s="3" t="s">
        <v>35</v>
      </c>
      <c r="B16" s="14" t="s">
        <v>36</v>
      </c>
      <c r="C16" s="15">
        <v>6.18</v>
      </c>
      <c r="D16" s="3">
        <v>3</v>
      </c>
      <c r="E16" s="19">
        <v>18.54</v>
      </c>
      <c r="F16" s="16">
        <v>0</v>
      </c>
      <c r="G16" s="16">
        <v>0</v>
      </c>
      <c r="H16" s="16">
        <v>0</v>
      </c>
      <c r="I16" s="16">
        <v>0</v>
      </c>
      <c r="J16" s="28" t="s">
        <v>22</v>
      </c>
      <c r="K16" s="28" t="s">
        <v>22</v>
      </c>
    </row>
    <row r="17" s="3" customFormat="1">
      <c r="A17" s="3" t="s">
        <v>37</v>
      </c>
      <c r="B17" s="14" t="s">
        <v>38</v>
      </c>
      <c r="C17" s="15">
        <v>0.96</v>
      </c>
      <c r="D17" s="3">
        <v>36</v>
      </c>
      <c r="E17" s="19">
        <v>34.56</v>
      </c>
      <c r="F17" s="16">
        <v>3.2361111111111116</v>
      </c>
      <c r="G17" s="16">
        <v>116.5</v>
      </c>
      <c r="H17" s="16">
        <v>10.6015</v>
      </c>
      <c r="I17" s="16">
        <v>116.5</v>
      </c>
      <c r="J17" s="20">
        <v>0.3264</v>
      </c>
      <c r="K17" s="20">
        <v>0.6736</v>
      </c>
    </row>
    <row r="18" s="3" customFormat="1">
      <c r="A18" s="3" t="s">
        <v>39</v>
      </c>
      <c r="B18" s="14" t="s">
        <v>40</v>
      </c>
      <c r="C18" s="15">
        <v>3.02</v>
      </c>
      <c r="D18" s="3">
        <v>93</v>
      </c>
      <c r="E18" s="19">
        <v>280.86</v>
      </c>
      <c r="F18" s="16">
        <v>9</v>
      </c>
      <c r="G18" s="16">
        <v>801.9</v>
      </c>
      <c r="H18" s="16">
        <v>48.4029</v>
      </c>
      <c r="I18" s="16">
        <v>531.9</v>
      </c>
      <c r="J18" s="20">
        <v>0.5809</v>
      </c>
      <c r="K18" s="20">
        <v>0.4191</v>
      </c>
    </row>
    <row r="19" s="3" customFormat="1">
      <c r="A19" s="3" t="s">
        <v>41</v>
      </c>
      <c r="B19" s="14" t="s">
        <v>42</v>
      </c>
      <c r="C19" s="15">
        <v>3.65</v>
      </c>
      <c r="D19" s="3">
        <v>59</v>
      </c>
      <c r="E19" s="19">
        <v>215.35</v>
      </c>
      <c r="F19" s="16">
        <v>13</v>
      </c>
      <c r="G19" s="16">
        <v>731.01</v>
      </c>
      <c r="H19" s="16">
        <v>66.5217</v>
      </c>
      <c r="I19" s="16">
        <v>731.01</v>
      </c>
      <c r="J19" s="20">
        <v>0.3241</v>
      </c>
      <c r="K19" s="20">
        <v>0.6759</v>
      </c>
    </row>
    <row r="20" s="3" customFormat="1">
      <c r="A20" s="3" t="s">
        <v>43</v>
      </c>
      <c r="B20" s="14" t="s">
        <v>44</v>
      </c>
      <c r="C20" s="15">
        <v>0.66</v>
      </c>
      <c r="D20" s="3">
        <v>12</v>
      </c>
      <c r="E20" s="19">
        <v>7.92</v>
      </c>
      <c r="F20" s="16">
        <v>3</v>
      </c>
      <c r="G20" s="16">
        <v>36</v>
      </c>
      <c r="H20" s="16">
        <v>3.276</v>
      </c>
      <c r="I20" s="16">
        <v>36</v>
      </c>
      <c r="J20" s="20">
        <v>0.242</v>
      </c>
      <c r="K20" s="20">
        <v>0.758</v>
      </c>
    </row>
    <row r="21" s="3" customFormat="1">
      <c r="A21" s="3" t="s">
        <v>45</v>
      </c>
      <c r="B21" s="14" t="s">
        <v>46</v>
      </c>
      <c r="C21" s="15">
        <v>5.26</v>
      </c>
      <c r="D21" s="3">
        <v>5</v>
      </c>
      <c r="E21" s="19">
        <v>26.299999999999997</v>
      </c>
      <c r="F21" s="16">
        <v>0</v>
      </c>
      <c r="G21" s="16">
        <v>0</v>
      </c>
      <c r="H21" s="16">
        <v>0</v>
      </c>
      <c r="I21" s="16">
        <v>0</v>
      </c>
      <c r="J21" s="28" t="s">
        <v>22</v>
      </c>
      <c r="K21" s="28" t="s">
        <v>22</v>
      </c>
    </row>
    <row r="22" s="3" customFormat="1">
      <c r="A22" s="3" t="s">
        <v>47</v>
      </c>
      <c r="B22" s="14" t="s">
        <v>48</v>
      </c>
      <c r="C22" s="15">
        <v>5.69</v>
      </c>
      <c r="D22" s="3">
        <v>127</v>
      </c>
      <c r="E22" s="19">
        <v>722.63</v>
      </c>
      <c r="F22" s="16">
        <v>19.685039370078737</v>
      </c>
      <c r="G22" s="16">
        <v>2380</v>
      </c>
      <c r="H22" s="16">
        <v>216.58</v>
      </c>
      <c r="I22" s="16">
        <v>2380</v>
      </c>
      <c r="J22" s="20">
        <v>0.334</v>
      </c>
      <c r="K22" s="20">
        <v>0.666</v>
      </c>
    </row>
    <row r="23" s="3" customFormat="1">
      <c r="A23" s="3" t="s">
        <v>49</v>
      </c>
      <c r="B23" s="14" t="s">
        <v>50</v>
      </c>
      <c r="C23" s="15">
        <v>2.36</v>
      </c>
      <c r="D23" s="3">
        <v>22</v>
      </c>
      <c r="E23" s="19">
        <v>51.919999999999995</v>
      </c>
      <c r="F23" s="16">
        <v>6</v>
      </c>
      <c r="G23" s="16">
        <v>132</v>
      </c>
      <c r="H23" s="16">
        <v>12.012</v>
      </c>
      <c r="I23" s="16">
        <v>132</v>
      </c>
      <c r="J23" s="20">
        <v>0.4327</v>
      </c>
      <c r="K23" s="20">
        <v>0.5673</v>
      </c>
    </row>
    <row r="24" s="3" customFormat="1">
      <c r="A24" s="3" t="s">
        <v>51</v>
      </c>
      <c r="B24" s="14" t="s">
        <v>21</v>
      </c>
      <c r="C24" s="15">
        <v>0</v>
      </c>
      <c r="D24" s="3">
        <v>279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22</v>
      </c>
      <c r="K24" s="28" t="s">
        <v>22</v>
      </c>
    </row>
    <row r="25" s="3" customFormat="1">
      <c r="A25" s="3" t="s">
        <v>52</v>
      </c>
      <c r="B25" s="14" t="s">
        <v>36</v>
      </c>
      <c r="C25" s="15">
        <v>6.18</v>
      </c>
      <c r="D25" s="3">
        <v>125</v>
      </c>
      <c r="E25" s="19">
        <v>772.5</v>
      </c>
      <c r="F25" s="16">
        <v>23</v>
      </c>
      <c r="G25" s="16">
        <v>2776.12</v>
      </c>
      <c r="H25" s="16">
        <v>252.6268</v>
      </c>
      <c r="I25" s="16">
        <v>2776.12</v>
      </c>
      <c r="J25" s="20">
        <v>0.3061</v>
      </c>
      <c r="K25" s="20">
        <v>0.6939</v>
      </c>
    </row>
    <row r="26" s="3" customFormat="1">
      <c r="A26" s="3" t="s">
        <v>53</v>
      </c>
      <c r="B26" s="14" t="s">
        <v>54</v>
      </c>
      <c r="C26" s="15">
        <v>5.47</v>
      </c>
      <c r="D26" s="3">
        <v>13</v>
      </c>
      <c r="E26" s="19">
        <v>71.11</v>
      </c>
      <c r="F26" s="16">
        <v>20</v>
      </c>
      <c r="G26" s="16">
        <v>234</v>
      </c>
      <c r="H26" s="16">
        <v>21.294</v>
      </c>
      <c r="I26" s="16">
        <v>234</v>
      </c>
      <c r="J26" s="20">
        <v>0.3343</v>
      </c>
      <c r="K26" s="20">
        <v>0.6657</v>
      </c>
    </row>
    <row r="27" s="3" customFormat="1">
      <c r="A27" s="3" t="s">
        <v>55</v>
      </c>
      <c r="B27" s="14" t="s">
        <v>21</v>
      </c>
      <c r="C27" s="15">
        <v>0</v>
      </c>
      <c r="D27" s="3">
        <v>25</v>
      </c>
      <c r="E27" s="19">
        <v>0</v>
      </c>
      <c r="F27" s="16">
        <v>26</v>
      </c>
      <c r="G27" s="16">
        <v>582.4</v>
      </c>
      <c r="H27" s="16">
        <v>52.9984</v>
      </c>
      <c r="I27" s="16">
        <v>582.4</v>
      </c>
      <c r="J27" s="28" t="s">
        <v>22</v>
      </c>
      <c r="K27" s="28" t="s">
        <v>22</v>
      </c>
    </row>
    <row r="28" s="3" customFormat="1">
      <c r="A28" s="3" t="s">
        <v>56</v>
      </c>
      <c r="B28" s="14" t="s">
        <v>21</v>
      </c>
      <c r="C28" s="15">
        <v>0</v>
      </c>
      <c r="D28" s="3">
        <v>8</v>
      </c>
      <c r="E28" s="19">
        <v>0</v>
      </c>
      <c r="F28" s="16">
        <v>78</v>
      </c>
      <c r="G28" s="16">
        <v>624</v>
      </c>
      <c r="H28" s="16">
        <v>56.784</v>
      </c>
      <c r="I28" s="16">
        <v>624</v>
      </c>
      <c r="J28" s="28" t="s">
        <v>22</v>
      </c>
      <c r="K28" s="28" t="s">
        <v>22</v>
      </c>
    </row>
    <row r="29" s="3" customFormat="1">
      <c r="A29" s="3" t="s">
        <v>57</v>
      </c>
      <c r="B29" s="14" t="s">
        <v>21</v>
      </c>
      <c r="C29" s="15">
        <v>0</v>
      </c>
      <c r="D29" s="3">
        <v>36</v>
      </c>
      <c r="E29" s="19">
        <v>0</v>
      </c>
      <c r="F29" s="16">
        <v>3</v>
      </c>
      <c r="G29" s="16">
        <v>105</v>
      </c>
      <c r="H29" s="16">
        <v>9.555</v>
      </c>
      <c r="I29" s="16">
        <v>105</v>
      </c>
      <c r="J29" s="28" t="s">
        <v>22</v>
      </c>
      <c r="K29" s="28" t="s">
        <v>22</v>
      </c>
    </row>
    <row r="30" s="3" customFormat="1">
      <c r="A30" s="3" t="s">
        <v>58</v>
      </c>
      <c r="B30" s="14" t="s">
        <v>59</v>
      </c>
      <c r="C30" s="15">
        <v>5.22</v>
      </c>
      <c r="D30" s="3">
        <v>44</v>
      </c>
      <c r="E30" s="19">
        <v>229.67999999999998</v>
      </c>
      <c r="F30" s="16">
        <v>19</v>
      </c>
      <c r="G30" s="16">
        <v>788.5</v>
      </c>
      <c r="H30" s="16">
        <v>71.7535</v>
      </c>
      <c r="I30" s="16">
        <v>788.5</v>
      </c>
      <c r="J30" s="20">
        <v>0.3204</v>
      </c>
      <c r="K30" s="20">
        <v>0.6796</v>
      </c>
    </row>
    <row r="31" s="3" customFormat="1">
      <c r="A31" s="3" t="s">
        <v>60</v>
      </c>
      <c r="B31" s="14" t="s">
        <v>21</v>
      </c>
      <c r="C31" s="15">
        <v>0</v>
      </c>
      <c r="D31" s="3">
        <v>1</v>
      </c>
      <c r="E31" s="19">
        <v>0</v>
      </c>
      <c r="F31" s="16">
        <v>0</v>
      </c>
      <c r="G31" s="16">
        <v>0</v>
      </c>
      <c r="H31" s="16">
        <v>0</v>
      </c>
      <c r="I31" s="16">
        <v>0</v>
      </c>
      <c r="J31" s="28" t="s">
        <v>22</v>
      </c>
      <c r="K31" s="28" t="s">
        <v>22</v>
      </c>
    </row>
    <row r="32" s="3" customFormat="1">
      <c r="A32" s="3" t="s">
        <v>61</v>
      </c>
      <c r="B32" s="14" t="s">
        <v>62</v>
      </c>
      <c r="C32" s="15">
        <v>2.98</v>
      </c>
      <c r="D32" s="3">
        <v>22</v>
      </c>
      <c r="E32" s="19">
        <v>65.56</v>
      </c>
      <c r="F32" s="16">
        <v>13</v>
      </c>
      <c r="G32" s="16">
        <v>286</v>
      </c>
      <c r="H32" s="16">
        <v>26.026</v>
      </c>
      <c r="I32" s="16">
        <v>286</v>
      </c>
      <c r="J32" s="20">
        <v>0.2522</v>
      </c>
      <c r="K32" s="20">
        <v>0.7478</v>
      </c>
    </row>
    <row r="33" s="3" customFormat="1">
      <c r="A33" s="3" t="s">
        <v>63</v>
      </c>
      <c r="B33" s="14" t="s">
        <v>64</v>
      </c>
      <c r="C33" s="15">
        <v>3.91</v>
      </c>
      <c r="D33" s="3">
        <v>159</v>
      </c>
      <c r="E33" s="19">
        <v>621.69</v>
      </c>
      <c r="F33" s="16">
        <v>15</v>
      </c>
      <c r="G33" s="16">
        <v>2245.5</v>
      </c>
      <c r="H33" s="16">
        <v>204.3405</v>
      </c>
      <c r="I33" s="16">
        <v>2245.5</v>
      </c>
      <c r="J33" s="20">
        <v>0.3046</v>
      </c>
      <c r="K33" s="20">
        <v>0.6954</v>
      </c>
    </row>
    <row r="34" s="3" customFormat="1">
      <c r="A34" s="3" t="s">
        <v>65</v>
      </c>
      <c r="B34" s="14" t="s">
        <v>66</v>
      </c>
      <c r="C34" s="15">
        <v>2.52</v>
      </c>
      <c r="D34" s="3">
        <v>305</v>
      </c>
      <c r="E34" s="19">
        <v>768.6</v>
      </c>
      <c r="F34" s="16">
        <v>10</v>
      </c>
      <c r="G34" s="16">
        <v>2986.95</v>
      </c>
      <c r="H34" s="16">
        <v>266.3518</v>
      </c>
      <c r="I34" s="16">
        <v>2926.95</v>
      </c>
      <c r="J34" s="20">
        <v>0.2889</v>
      </c>
      <c r="K34" s="20">
        <v>0.7111</v>
      </c>
    </row>
    <row r="35">
      <c r="A35" s="3" t="s">
        <v>67</v>
      </c>
      <c r="B35" s="14" t="s">
        <v>68</v>
      </c>
      <c r="C35" s="15">
        <v>3.4</v>
      </c>
      <c r="D35" s="3">
        <v>187</v>
      </c>
      <c r="E35" s="19">
        <v>635.8</v>
      </c>
      <c r="F35" s="16">
        <v>12</v>
      </c>
      <c r="G35" s="16">
        <v>2195.77</v>
      </c>
      <c r="H35" s="16">
        <v>199.8146</v>
      </c>
      <c r="I35" s="16">
        <v>2195.77</v>
      </c>
      <c r="J35" s="20">
        <v>0.3185</v>
      </c>
      <c r="K35" s="20">
        <v>0.6815</v>
      </c>
    </row>
    <row r="36">
      <c r="A36" s="3" t="s">
        <v>69</v>
      </c>
      <c r="B36" s="14" t="s">
        <v>70</v>
      </c>
      <c r="C36" s="15">
        <v>5.95</v>
      </c>
      <c r="D36" s="3">
        <v>51</v>
      </c>
      <c r="E36" s="19">
        <v>303.45</v>
      </c>
      <c r="F36" s="16">
        <v>21</v>
      </c>
      <c r="G36" s="16">
        <v>1027.98</v>
      </c>
      <c r="H36" s="16">
        <v>93.5461</v>
      </c>
      <c r="I36" s="16">
        <v>1027.98</v>
      </c>
      <c r="J36" s="20">
        <v>0.3247</v>
      </c>
      <c r="K36" s="20">
        <v>0.6753</v>
      </c>
    </row>
    <row r="37">
      <c r="A37" s="3" t="s">
        <v>71</v>
      </c>
      <c r="B37" s="14" t="s">
        <v>21</v>
      </c>
      <c r="C37" s="15">
        <v>0</v>
      </c>
      <c r="D37" s="3">
        <v>33</v>
      </c>
      <c r="E37" s="19">
        <v>0</v>
      </c>
      <c r="F37" s="16">
        <v>26</v>
      </c>
      <c r="G37" s="16">
        <v>754</v>
      </c>
      <c r="H37" s="16">
        <v>68.614</v>
      </c>
      <c r="I37" s="16">
        <v>754</v>
      </c>
      <c r="J37" s="28" t="s">
        <v>22</v>
      </c>
      <c r="K37" s="28" t="s">
        <v>22</v>
      </c>
    </row>
    <row r="38">
      <c r="A38" s="3" t="s">
        <v>72</v>
      </c>
      <c r="B38" s="14" t="s">
        <v>21</v>
      </c>
      <c r="C38" s="15">
        <v>0</v>
      </c>
      <c r="D38" s="3">
        <v>23</v>
      </c>
      <c r="E38" s="19">
        <v>0</v>
      </c>
      <c r="F38" s="16">
        <v>0</v>
      </c>
      <c r="G38" s="16">
        <v>0</v>
      </c>
      <c r="H38" s="16">
        <v>0</v>
      </c>
      <c r="I38" s="16">
        <v>0</v>
      </c>
      <c r="J38" s="28" t="s">
        <v>22</v>
      </c>
      <c r="K38" s="28" t="s">
        <v>22</v>
      </c>
    </row>
    <row r="39">
      <c r="A39" s="3" t="s">
        <v>73</v>
      </c>
      <c r="B39" s="14" t="s">
        <v>74</v>
      </c>
      <c r="C39" s="15">
        <v>2.97</v>
      </c>
      <c r="D39" s="3">
        <v>62</v>
      </c>
      <c r="E39" s="19">
        <v>184.14000000000001</v>
      </c>
      <c r="F39" s="16">
        <v>12</v>
      </c>
      <c r="G39" s="16">
        <v>735.49</v>
      </c>
      <c r="H39" s="16">
        <v>66.9294</v>
      </c>
      <c r="I39" s="16">
        <v>735.49</v>
      </c>
      <c r="J39" s="20">
        <v>0.2754</v>
      </c>
      <c r="K39" s="20">
        <v>0.7246</v>
      </c>
    </row>
    <row r="40">
      <c r="A40" s="3" t="s">
        <v>75</v>
      </c>
      <c r="B40" s="14" t="s">
        <v>76</v>
      </c>
      <c r="C40" s="15">
        <v>4.1</v>
      </c>
      <c r="D40" s="3">
        <v>44</v>
      </c>
      <c r="E40" s="19">
        <v>180.39999999999998</v>
      </c>
      <c r="F40" s="16">
        <v>13</v>
      </c>
      <c r="G40" s="16">
        <v>539.5</v>
      </c>
      <c r="H40" s="16">
        <v>49.0945</v>
      </c>
      <c r="I40" s="16">
        <v>539.5</v>
      </c>
      <c r="J40" s="20">
        <v>0.3679</v>
      </c>
      <c r="K40" s="20">
        <v>0.6321</v>
      </c>
    </row>
    <row r="41">
      <c r="A41" s="3" t="s">
        <v>77</v>
      </c>
      <c r="B41" s="14" t="s">
        <v>78</v>
      </c>
      <c r="C41" s="15">
        <v>1.61</v>
      </c>
      <c r="D41" s="3">
        <v>283</v>
      </c>
      <c r="E41" s="19">
        <v>455.63000000000005</v>
      </c>
      <c r="F41" s="16">
        <v>6</v>
      </c>
      <c r="G41" s="16">
        <v>1627.8</v>
      </c>
      <c r="H41" s="16">
        <v>148.1298</v>
      </c>
      <c r="I41" s="16">
        <v>1627.8</v>
      </c>
      <c r="J41" s="20">
        <v>0.3079</v>
      </c>
      <c r="K41" s="20">
        <v>0.6921</v>
      </c>
    </row>
    <row r="42">
      <c r="A42" s="3" t="s">
        <v>79</v>
      </c>
      <c r="B42" s="14" t="s">
        <v>80</v>
      </c>
      <c r="C42" s="15">
        <v>7.1</v>
      </c>
      <c r="D42" s="3">
        <v>78</v>
      </c>
      <c r="E42" s="19">
        <v>553.8</v>
      </c>
      <c r="F42" s="16">
        <v>26</v>
      </c>
      <c r="G42" s="16">
        <v>1872.36</v>
      </c>
      <c r="H42" s="16">
        <v>170.3846</v>
      </c>
      <c r="I42" s="16">
        <v>1872.36</v>
      </c>
      <c r="J42" s="20">
        <v>0.3254</v>
      </c>
      <c r="K42" s="20">
        <v>0.6746</v>
      </c>
    </row>
    <row r="43">
      <c r="A43" s="3" t="s">
        <v>81</v>
      </c>
      <c r="B43" s="14" t="s">
        <v>82</v>
      </c>
      <c r="C43" s="15">
        <v>0.69</v>
      </c>
      <c r="D43" s="3">
        <v>15</v>
      </c>
      <c r="E43" s="19">
        <v>10.35</v>
      </c>
      <c r="F43" s="16">
        <v>3</v>
      </c>
      <c r="G43" s="16">
        <v>45</v>
      </c>
      <c r="H43" s="16">
        <v>4.095</v>
      </c>
      <c r="I43" s="16">
        <v>45</v>
      </c>
      <c r="J43" s="20">
        <v>0.253</v>
      </c>
      <c r="K43" s="20">
        <v>0.747</v>
      </c>
    </row>
    <row r="44">
      <c r="A44" s="3" t="s">
        <v>83</v>
      </c>
      <c r="B44" s="14" t="s">
        <v>84</v>
      </c>
      <c r="C44" s="15">
        <v>5.18</v>
      </c>
      <c r="D44" s="3">
        <v>29</v>
      </c>
      <c r="E44" s="19">
        <v>150.22</v>
      </c>
      <c r="F44" s="16">
        <v>20</v>
      </c>
      <c r="G44" s="16">
        <v>560</v>
      </c>
      <c r="H44" s="16">
        <v>50.96</v>
      </c>
      <c r="I44" s="16">
        <v>560</v>
      </c>
      <c r="J44" s="20">
        <v>0.2951</v>
      </c>
      <c r="K44" s="20">
        <v>0.7049</v>
      </c>
    </row>
    <row r="45">
      <c r="A45" s="3" t="s">
        <v>85</v>
      </c>
      <c r="B45" s="14" t="s">
        <v>86</v>
      </c>
      <c r="C45" s="15">
        <v>6.85</v>
      </c>
      <c r="D45" s="3">
        <v>2</v>
      </c>
      <c r="E45" s="19">
        <v>13.7</v>
      </c>
      <c r="F45" s="16">
        <v>3</v>
      </c>
      <c r="G45" s="16">
        <v>6</v>
      </c>
      <c r="H45" s="16">
        <v>0.546</v>
      </c>
      <c r="I45" s="16">
        <v>6</v>
      </c>
      <c r="J45" s="20">
        <v>2.5119</v>
      </c>
      <c r="K45" s="20">
        <v>-1.5119</v>
      </c>
    </row>
    <row r="46">
      <c r="A46" s="3" t="s">
        <v>87</v>
      </c>
      <c r="B46" s="14" t="s">
        <v>88</v>
      </c>
      <c r="C46" s="15">
        <v>0.66</v>
      </c>
      <c r="D46" s="3">
        <v>17</v>
      </c>
      <c r="E46" s="19">
        <v>11.22</v>
      </c>
      <c r="F46" s="16">
        <v>3</v>
      </c>
      <c r="G46" s="16">
        <v>48</v>
      </c>
      <c r="H46" s="16">
        <v>4.368</v>
      </c>
      <c r="I46" s="16">
        <v>48</v>
      </c>
      <c r="J46" s="20">
        <v>0.2572</v>
      </c>
      <c r="K46" s="20">
        <v>0.7428</v>
      </c>
    </row>
    <row r="47">
      <c r="A47" s="3" t="s">
        <v>89</v>
      </c>
      <c r="B47" s="14" t="s">
        <v>90</v>
      </c>
      <c r="C47" s="15">
        <v>4.74</v>
      </c>
      <c r="D47" s="3">
        <v>260</v>
      </c>
      <c r="E47" s="19">
        <v>1232.4</v>
      </c>
      <c r="F47" s="16">
        <v>25</v>
      </c>
      <c r="G47" s="16">
        <v>6500</v>
      </c>
      <c r="H47" s="16">
        <v>591.5</v>
      </c>
      <c r="I47" s="16">
        <v>6500</v>
      </c>
      <c r="J47" s="20">
        <v>0.2086</v>
      </c>
      <c r="K47" s="20">
        <v>0.7914</v>
      </c>
    </row>
    <row r="48">
      <c r="A48" s="3" t="s">
        <v>91</v>
      </c>
      <c r="B48" s="14" t="s">
        <v>92</v>
      </c>
      <c r="C48" s="15">
        <v>2.77</v>
      </c>
      <c r="D48" s="3">
        <v>1</v>
      </c>
      <c r="E48" s="19">
        <v>2.77</v>
      </c>
      <c r="F48" s="16">
        <v>6.4</v>
      </c>
      <c r="G48" s="16">
        <v>6.4</v>
      </c>
      <c r="H48" s="16">
        <v>0.5824</v>
      </c>
      <c r="I48" s="16">
        <v>6.4</v>
      </c>
      <c r="J48" s="20">
        <v>0.4761</v>
      </c>
      <c r="K48" s="20">
        <v>0.5239</v>
      </c>
    </row>
    <row r="49">
      <c r="A49" s="3" t="s">
        <v>93</v>
      </c>
      <c r="B49" s="14" t="s">
        <v>21</v>
      </c>
      <c r="C49" s="15">
        <v>0</v>
      </c>
      <c r="D49" s="3">
        <v>1</v>
      </c>
      <c r="E49" s="19">
        <v>0</v>
      </c>
      <c r="F49" s="16">
        <v>3.5</v>
      </c>
      <c r="G49" s="16">
        <v>3.5</v>
      </c>
      <c r="H49" s="16">
        <v>0.3185</v>
      </c>
      <c r="I49" s="16">
        <v>3.5</v>
      </c>
      <c r="J49" s="28" t="s">
        <v>22</v>
      </c>
      <c r="K49" s="28" t="s">
        <v>22</v>
      </c>
    </row>
    <row r="50">
      <c r="A50" s="3" t="s">
        <v>94</v>
      </c>
      <c r="B50" s="14" t="s">
        <v>95</v>
      </c>
      <c r="C50" s="15">
        <v>0.65</v>
      </c>
      <c r="D50" s="3">
        <v>1</v>
      </c>
      <c r="E50" s="19">
        <v>0.65</v>
      </c>
      <c r="F50" s="16">
        <v>6</v>
      </c>
      <c r="G50" s="16">
        <v>6</v>
      </c>
      <c r="H50" s="16">
        <v>0.546</v>
      </c>
      <c r="I50" s="16">
        <v>6</v>
      </c>
      <c r="J50" s="20">
        <v>0.1192</v>
      </c>
      <c r="K50" s="20">
        <v>0.8808</v>
      </c>
    </row>
    <row r="51">
      <c r="A51" s="3" t="s">
        <v>96</v>
      </c>
      <c r="B51" s="14" t="s">
        <v>97</v>
      </c>
      <c r="C51" s="15">
        <v>6.06</v>
      </c>
      <c r="D51" s="3">
        <v>53</v>
      </c>
      <c r="E51" s="19">
        <v>321.18</v>
      </c>
      <c r="F51" s="16">
        <v>29</v>
      </c>
      <c r="G51" s="16">
        <v>1537</v>
      </c>
      <c r="H51" s="16">
        <v>139.867</v>
      </c>
      <c r="I51" s="16">
        <v>1537</v>
      </c>
      <c r="J51" s="20">
        <v>0.2299</v>
      </c>
      <c r="K51" s="20">
        <v>0.7701</v>
      </c>
    </row>
    <row r="52">
      <c r="A52" s="3" t="s">
        <v>98</v>
      </c>
      <c r="B52" s="14" t="s">
        <v>99</v>
      </c>
      <c r="C52" s="15">
        <v>3.02</v>
      </c>
      <c r="D52" s="3">
        <v>23</v>
      </c>
      <c r="E52" s="19">
        <v>69.46</v>
      </c>
      <c r="F52" s="16">
        <v>12</v>
      </c>
      <c r="G52" s="16">
        <v>276</v>
      </c>
      <c r="H52" s="16">
        <v>25.116</v>
      </c>
      <c r="I52" s="16">
        <v>276</v>
      </c>
      <c r="J52" s="20">
        <v>0.2769</v>
      </c>
      <c r="K52" s="20">
        <v>0.7231</v>
      </c>
    </row>
    <row r="53">
      <c r="A53" s="3" t="s">
        <v>100</v>
      </c>
      <c r="B53" s="14" t="s">
        <v>101</v>
      </c>
      <c r="C53" s="15">
        <v>3.65</v>
      </c>
      <c r="D53" s="3">
        <v>45</v>
      </c>
      <c r="E53" s="19">
        <v>164.25</v>
      </c>
      <c r="F53" s="16">
        <v>16</v>
      </c>
      <c r="G53" s="16">
        <v>720</v>
      </c>
      <c r="H53" s="16">
        <v>65.52</v>
      </c>
      <c r="I53" s="16">
        <v>720</v>
      </c>
      <c r="J53" s="20">
        <v>0.251</v>
      </c>
      <c r="K53" s="20">
        <v>0.749</v>
      </c>
    </row>
    <row r="54">
      <c r="A54" s="3" t="s">
        <v>102</v>
      </c>
      <c r="B54" s="14" t="s">
        <v>103</v>
      </c>
      <c r="C54" s="15">
        <v>5.69</v>
      </c>
      <c r="D54" s="3">
        <v>36</v>
      </c>
      <c r="E54" s="19">
        <v>204.84</v>
      </c>
      <c r="F54" s="16">
        <v>28</v>
      </c>
      <c r="G54" s="16">
        <v>1008</v>
      </c>
      <c r="H54" s="16">
        <v>91.728</v>
      </c>
      <c r="I54" s="16">
        <v>1008</v>
      </c>
      <c r="J54" s="20">
        <v>0.2236</v>
      </c>
      <c r="K54" s="20">
        <v>0.7764</v>
      </c>
    </row>
    <row r="55">
      <c r="A55" s="3" t="s">
        <v>104</v>
      </c>
      <c r="B55" s="14" t="s">
        <v>21</v>
      </c>
      <c r="C55" s="15">
        <v>0</v>
      </c>
      <c r="D55" s="3">
        <v>11</v>
      </c>
      <c r="E55" s="19">
        <v>0</v>
      </c>
      <c r="F55" s="16">
        <v>8</v>
      </c>
      <c r="G55" s="16">
        <v>88</v>
      </c>
      <c r="H55" s="16">
        <v>8.008</v>
      </c>
      <c r="I55" s="16">
        <v>88</v>
      </c>
      <c r="J55" s="28" t="s">
        <v>22</v>
      </c>
      <c r="K55" s="28" t="s">
        <v>22</v>
      </c>
    </row>
    <row r="56">
      <c r="A56" s="3" t="s">
        <v>105</v>
      </c>
      <c r="B56" s="14" t="s">
        <v>106</v>
      </c>
      <c r="C56" s="15">
        <v>5.47</v>
      </c>
      <c r="D56" s="3">
        <v>1</v>
      </c>
      <c r="E56" s="19">
        <v>5.47</v>
      </c>
      <c r="F56" s="16">
        <v>27</v>
      </c>
      <c r="G56" s="16">
        <v>27</v>
      </c>
      <c r="H56" s="16">
        <v>2.457</v>
      </c>
      <c r="I56" s="16">
        <v>27</v>
      </c>
      <c r="J56" s="20">
        <v>0.2229</v>
      </c>
      <c r="K56" s="20">
        <v>0.7771</v>
      </c>
    </row>
    <row r="57">
      <c r="A57" s="3" t="s">
        <v>107</v>
      </c>
      <c r="B57" s="14" t="s">
        <v>21</v>
      </c>
      <c r="C57" s="15">
        <v>0</v>
      </c>
      <c r="D57" s="3">
        <v>4</v>
      </c>
      <c r="E57" s="19">
        <v>0</v>
      </c>
      <c r="F57" s="16">
        <v>95</v>
      </c>
      <c r="G57" s="16">
        <v>380</v>
      </c>
      <c r="H57" s="16">
        <v>34.58</v>
      </c>
      <c r="I57" s="16">
        <v>380</v>
      </c>
      <c r="J57" s="28" t="s">
        <v>22</v>
      </c>
      <c r="K57" s="28" t="s">
        <v>22</v>
      </c>
    </row>
    <row r="58">
      <c r="A58" s="3" t="s">
        <v>108</v>
      </c>
      <c r="B58" s="14" t="s">
        <v>21</v>
      </c>
      <c r="C58" s="15">
        <v>0</v>
      </c>
      <c r="D58" s="3">
        <v>15</v>
      </c>
      <c r="E58" s="19">
        <v>0</v>
      </c>
      <c r="F58" s="16">
        <v>3.5</v>
      </c>
      <c r="G58" s="16">
        <v>52.5</v>
      </c>
      <c r="H58" s="16">
        <v>4.7775</v>
      </c>
      <c r="I58" s="16">
        <v>52.5</v>
      </c>
      <c r="J58" s="28" t="s">
        <v>22</v>
      </c>
      <c r="K58" s="28" t="s">
        <v>22</v>
      </c>
    </row>
    <row r="59">
      <c r="A59" s="3" t="s">
        <v>109</v>
      </c>
      <c r="B59" s="14" t="s">
        <v>110</v>
      </c>
      <c r="C59" s="15">
        <v>5.22</v>
      </c>
      <c r="D59" s="3">
        <v>10</v>
      </c>
      <c r="E59" s="19">
        <v>52.199999999999996</v>
      </c>
      <c r="F59" s="16">
        <v>26</v>
      </c>
      <c r="G59" s="16">
        <v>260</v>
      </c>
      <c r="H59" s="16">
        <v>23.66</v>
      </c>
      <c r="I59" s="16">
        <v>260</v>
      </c>
      <c r="J59" s="20">
        <v>0.2209</v>
      </c>
      <c r="K59" s="20">
        <v>0.7791</v>
      </c>
    </row>
    <row r="60">
      <c r="A60" s="3" t="s">
        <v>111</v>
      </c>
      <c r="B60" s="14" t="s">
        <v>112</v>
      </c>
      <c r="C60" s="15">
        <v>4.1</v>
      </c>
      <c r="D60" s="3">
        <v>22</v>
      </c>
      <c r="E60" s="19">
        <v>90.199999999999989</v>
      </c>
      <c r="F60" s="16">
        <v>15</v>
      </c>
      <c r="G60" s="16">
        <v>330</v>
      </c>
      <c r="H60" s="16">
        <v>30.03</v>
      </c>
      <c r="I60" s="16">
        <v>330</v>
      </c>
      <c r="J60" s="20">
        <v>0.3007</v>
      </c>
      <c r="K60" s="20">
        <v>0.6993</v>
      </c>
    </row>
    <row r="61">
      <c r="A61" s="3" t="s">
        <v>113</v>
      </c>
      <c r="B61" s="14" t="s">
        <v>21</v>
      </c>
      <c r="C61" s="15">
        <v>0</v>
      </c>
      <c r="D61" s="3">
        <v>8</v>
      </c>
      <c r="E61" s="19">
        <v>0</v>
      </c>
      <c r="F61" s="16">
        <v>15</v>
      </c>
      <c r="G61" s="16">
        <v>120</v>
      </c>
      <c r="H61" s="16">
        <v>10.92</v>
      </c>
      <c r="I61" s="16">
        <v>120</v>
      </c>
      <c r="J61" s="28" t="s">
        <v>22</v>
      </c>
      <c r="K61" s="28" t="s">
        <v>22</v>
      </c>
    </row>
    <row r="62">
      <c r="A62" s="3" t="s">
        <v>114</v>
      </c>
      <c r="B62" s="14" t="s">
        <v>21</v>
      </c>
      <c r="C62" s="15">
        <v>0</v>
      </c>
      <c r="D62" s="3">
        <v>56</v>
      </c>
      <c r="E62" s="19">
        <v>0</v>
      </c>
      <c r="F62" s="16">
        <v>19</v>
      </c>
      <c r="G62" s="16">
        <v>1064</v>
      </c>
      <c r="H62" s="16">
        <v>96.824</v>
      </c>
      <c r="I62" s="16">
        <v>1064</v>
      </c>
      <c r="J62" s="28" t="s">
        <v>22</v>
      </c>
      <c r="K62" s="28" t="s">
        <v>22</v>
      </c>
    </row>
    <row r="63">
      <c r="A63" s="3" t="s">
        <v>115</v>
      </c>
      <c r="B63" s="14" t="s">
        <v>116</v>
      </c>
      <c r="C63" s="15">
        <v>2.52</v>
      </c>
      <c r="D63" s="3">
        <v>100</v>
      </c>
      <c r="E63" s="19">
        <v>252</v>
      </c>
      <c r="F63" s="16">
        <v>12.48</v>
      </c>
      <c r="G63" s="16">
        <v>1248</v>
      </c>
      <c r="H63" s="16">
        <v>113.568</v>
      </c>
      <c r="I63" s="16">
        <v>1248</v>
      </c>
      <c r="J63" s="20">
        <v>0.2221</v>
      </c>
      <c r="K63" s="20">
        <v>0.7779</v>
      </c>
    </row>
    <row r="64">
      <c r="A64" s="3" t="s">
        <v>117</v>
      </c>
      <c r="B64" s="14" t="s">
        <v>118</v>
      </c>
      <c r="C64" s="15">
        <v>3.4</v>
      </c>
      <c r="D64" s="3">
        <v>47</v>
      </c>
      <c r="E64" s="19">
        <v>159.79999999999998</v>
      </c>
      <c r="F64" s="16">
        <v>12.212765957446809</v>
      </c>
      <c r="G64" s="16">
        <v>574</v>
      </c>
      <c r="H64" s="16">
        <v>52.234</v>
      </c>
      <c r="I64" s="16">
        <v>574</v>
      </c>
      <c r="J64" s="20">
        <v>0.3063</v>
      </c>
      <c r="K64" s="20">
        <v>0.6937</v>
      </c>
    </row>
    <row r="65">
      <c r="A65" s="3" t="s">
        <v>119</v>
      </c>
      <c r="B65" s="14" t="s">
        <v>21</v>
      </c>
      <c r="C65" s="15">
        <v>0</v>
      </c>
      <c r="D65" s="3">
        <v>7</v>
      </c>
      <c r="E65" s="19">
        <v>0</v>
      </c>
      <c r="F65" s="16">
        <v>28</v>
      </c>
      <c r="G65" s="16">
        <v>196</v>
      </c>
      <c r="H65" s="16">
        <v>17.836</v>
      </c>
      <c r="I65" s="16">
        <v>196</v>
      </c>
      <c r="J65" s="28" t="s">
        <v>22</v>
      </c>
      <c r="K65" s="28" t="s">
        <v>22</v>
      </c>
    </row>
    <row r="66">
      <c r="A66" s="3" t="s">
        <v>120</v>
      </c>
      <c r="B66" s="14" t="s">
        <v>121</v>
      </c>
      <c r="C66" s="15">
        <v>2.97</v>
      </c>
      <c r="D66" s="3">
        <v>21</v>
      </c>
      <c r="E66" s="19">
        <v>62.370000000000005</v>
      </c>
      <c r="F66" s="16">
        <v>12.666666666666668</v>
      </c>
      <c r="G66" s="16">
        <v>266</v>
      </c>
      <c r="H66" s="16">
        <v>24.206</v>
      </c>
      <c r="I66" s="16">
        <v>266</v>
      </c>
      <c r="J66" s="20">
        <v>0.2579</v>
      </c>
      <c r="K66" s="20">
        <v>0.7421</v>
      </c>
    </row>
    <row r="67">
      <c r="A67" s="3" t="s">
        <v>122</v>
      </c>
      <c r="B67" s="14" t="s">
        <v>78</v>
      </c>
      <c r="C67" s="15">
        <v>1.61</v>
      </c>
      <c r="D67" s="3">
        <v>133</v>
      </c>
      <c r="E67" s="19">
        <v>214.13000000000002</v>
      </c>
      <c r="F67" s="16">
        <v>8</v>
      </c>
      <c r="G67" s="16">
        <v>1064</v>
      </c>
      <c r="H67" s="16">
        <v>96.824</v>
      </c>
      <c r="I67" s="16">
        <v>1064</v>
      </c>
      <c r="J67" s="20">
        <v>0.2214</v>
      </c>
      <c r="K67" s="20">
        <v>0.7786</v>
      </c>
    </row>
    <row r="68">
      <c r="A68" s="3" t="s">
        <v>123</v>
      </c>
      <c r="B68" s="14" t="s">
        <v>82</v>
      </c>
      <c r="C68" s="15">
        <v>0.69</v>
      </c>
      <c r="D68" s="3">
        <v>7</v>
      </c>
      <c r="E68" s="19">
        <v>4.83</v>
      </c>
      <c r="F68" s="16">
        <v>3.5</v>
      </c>
      <c r="G68" s="16">
        <v>24.5</v>
      </c>
      <c r="H68" s="16">
        <v>2.2295</v>
      </c>
      <c r="I68" s="16">
        <v>24.5</v>
      </c>
      <c r="J68" s="20">
        <v>0.2169</v>
      </c>
      <c r="K68" s="20">
        <v>0.7831</v>
      </c>
    </row>
    <row r="69">
      <c r="A69" s="3" t="s">
        <v>124</v>
      </c>
      <c r="B69" s="14" t="s">
        <v>125</v>
      </c>
      <c r="C69" s="15">
        <v>5.18</v>
      </c>
      <c r="D69" s="3">
        <v>10</v>
      </c>
      <c r="E69" s="19">
        <v>51.8</v>
      </c>
      <c r="F69" s="16">
        <v>25</v>
      </c>
      <c r="G69" s="16">
        <v>250</v>
      </c>
      <c r="H69" s="16">
        <v>22.75</v>
      </c>
      <c r="I69" s="16">
        <v>250</v>
      </c>
      <c r="J69" s="20">
        <v>0.2279</v>
      </c>
      <c r="K69" s="20">
        <v>0.7721</v>
      </c>
    </row>
    <row r="70">
      <c r="A70" s="3" t="s">
        <v>126</v>
      </c>
      <c r="B70" s="14" t="s">
        <v>88</v>
      </c>
      <c r="C70" s="15">
        <v>0.66</v>
      </c>
      <c r="D70" s="3">
        <v>33</v>
      </c>
      <c r="E70" s="19">
        <v>21.78</v>
      </c>
      <c r="F70" s="16">
        <v>3.5</v>
      </c>
      <c r="G70" s="16">
        <v>115.5</v>
      </c>
      <c r="H70" s="16">
        <v>10.5105</v>
      </c>
      <c r="I70" s="16">
        <v>115.5</v>
      </c>
      <c r="J70" s="20">
        <v>0.2074</v>
      </c>
      <c r="K70" s="20">
        <v>0.7926</v>
      </c>
    </row>
    <row r="71">
      <c r="A71" s="3" t="s">
        <v>127</v>
      </c>
      <c r="B71" s="14" t="s">
        <v>128</v>
      </c>
      <c r="C71" s="15">
        <v>5.26</v>
      </c>
      <c r="D71" s="3">
        <v>189</v>
      </c>
      <c r="E71" s="19">
        <v>994.14</v>
      </c>
      <c r="F71" s="16">
        <v>27</v>
      </c>
      <c r="G71" s="16">
        <v>5103</v>
      </c>
      <c r="H71" s="16">
        <v>464.373</v>
      </c>
      <c r="I71" s="16">
        <v>5103</v>
      </c>
      <c r="J71" s="20">
        <v>0.2143</v>
      </c>
      <c r="K71" s="20">
        <v>0.7857</v>
      </c>
    </row>
    <row r="72">
      <c r="A72" s="3" t="s">
        <v>129</v>
      </c>
      <c r="B72" s="14" t="s">
        <v>130</v>
      </c>
      <c r="C72" s="15">
        <v>3.2</v>
      </c>
      <c r="D72" s="3">
        <v>106</v>
      </c>
      <c r="E72" s="19">
        <v>339.20000000000005</v>
      </c>
      <c r="F72" s="16">
        <v>16</v>
      </c>
      <c r="G72" s="16">
        <v>1696</v>
      </c>
      <c r="H72" s="16">
        <v>154.336</v>
      </c>
      <c r="I72" s="16">
        <v>1696</v>
      </c>
      <c r="J72" s="20">
        <v>0.22</v>
      </c>
      <c r="K72" s="20">
        <v>0.78</v>
      </c>
    </row>
    <row r="73">
      <c r="A73" s="3" t="s">
        <v>131</v>
      </c>
      <c r="B73" s="14" t="s">
        <v>86</v>
      </c>
      <c r="C73" s="15">
        <v>6.85</v>
      </c>
      <c r="D73" s="3">
        <v>50</v>
      </c>
      <c r="E73" s="19">
        <v>342.5</v>
      </c>
      <c r="F73" s="16">
        <v>32</v>
      </c>
      <c r="G73" s="16">
        <v>1600</v>
      </c>
      <c r="H73" s="16">
        <v>145.6</v>
      </c>
      <c r="I73" s="16">
        <v>1600</v>
      </c>
      <c r="J73" s="20">
        <v>0.2355</v>
      </c>
      <c r="K73" s="20">
        <v>0.7645</v>
      </c>
    </row>
    <row r="74">
      <c r="A74" s="3" t="s">
        <v>132</v>
      </c>
      <c r="B74" s="14" t="s">
        <v>133</v>
      </c>
      <c r="C74" s="15">
        <v>1.02</v>
      </c>
      <c r="D74" s="3">
        <v>47</v>
      </c>
      <c r="E74" s="19">
        <v>47.94</v>
      </c>
      <c r="F74" s="16">
        <v>3.5</v>
      </c>
      <c r="G74" s="16">
        <v>164.5</v>
      </c>
      <c r="H74" s="16">
        <v>14.9695</v>
      </c>
      <c r="I74" s="16">
        <v>164.5</v>
      </c>
      <c r="J74" s="20">
        <v>0.3206</v>
      </c>
      <c r="K74" s="20">
        <v>0.6794</v>
      </c>
    </row>
    <row r="75">
      <c r="A75" s="3" t="s">
        <v>134</v>
      </c>
      <c r="B75" s="14" t="s">
        <v>21</v>
      </c>
      <c r="C75" s="15">
        <v>0</v>
      </c>
      <c r="D75" s="3">
        <v>62</v>
      </c>
      <c r="E75" s="19">
        <v>0</v>
      </c>
      <c r="F75" s="16">
        <v>3.5</v>
      </c>
      <c r="G75" s="16">
        <v>217</v>
      </c>
      <c r="H75" s="16">
        <v>19.747</v>
      </c>
      <c r="I75" s="16">
        <v>217</v>
      </c>
      <c r="J75" s="28" t="s">
        <v>22</v>
      </c>
      <c r="K75" s="28" t="s">
        <v>22</v>
      </c>
    </row>
    <row r="76">
      <c r="A76" s="3" t="s">
        <v>135</v>
      </c>
      <c r="B76" s="14" t="s">
        <v>136</v>
      </c>
      <c r="C76" s="15">
        <v>6.23</v>
      </c>
      <c r="D76" s="3">
        <v>92</v>
      </c>
      <c r="E76" s="19">
        <v>573.16000000000008</v>
      </c>
      <c r="F76" s="16">
        <v>25</v>
      </c>
      <c r="G76" s="16">
        <v>2223.95</v>
      </c>
      <c r="H76" s="16">
        <v>202.3793</v>
      </c>
      <c r="I76" s="16">
        <v>2223.95</v>
      </c>
      <c r="J76" s="20">
        <v>0.2835</v>
      </c>
      <c r="K76" s="20">
        <v>0.7165</v>
      </c>
    </row>
    <row r="77">
      <c r="A77" s="3" t="s">
        <v>137</v>
      </c>
      <c r="B77" s="14" t="s">
        <v>46</v>
      </c>
      <c r="C77" s="15">
        <v>5.26</v>
      </c>
      <c r="D77" s="3">
        <v>334</v>
      </c>
      <c r="E77" s="19">
        <v>1756.84</v>
      </c>
      <c r="F77" s="16">
        <v>20.748502994011979</v>
      </c>
      <c r="G77" s="16">
        <v>6721.08</v>
      </c>
      <c r="H77" s="16">
        <v>611.6182</v>
      </c>
      <c r="I77" s="16">
        <v>6721.08</v>
      </c>
      <c r="J77" s="20">
        <v>0.2876</v>
      </c>
      <c r="K77" s="20">
        <v>0.7124</v>
      </c>
    </row>
    <row r="78">
      <c r="A78" s="3" t="s">
        <v>138</v>
      </c>
      <c r="B78" s="14" t="s">
        <v>139</v>
      </c>
      <c r="C78" s="15">
        <v>3.2</v>
      </c>
      <c r="D78" s="3">
        <v>159</v>
      </c>
      <c r="E78" s="19">
        <v>508.8</v>
      </c>
      <c r="F78" s="16">
        <v>12</v>
      </c>
      <c r="G78" s="16">
        <v>1773.6</v>
      </c>
      <c r="H78" s="16">
        <v>161.3976</v>
      </c>
      <c r="I78" s="16">
        <v>1773.6</v>
      </c>
      <c r="J78" s="20">
        <v>0.3156</v>
      </c>
      <c r="K78" s="20">
        <v>0.6844</v>
      </c>
    </row>
    <row r="79">
      <c r="A79" s="3" t="s">
        <v>140</v>
      </c>
      <c r="B79" s="14" t="s">
        <v>86</v>
      </c>
      <c r="C79" s="15">
        <v>6.85</v>
      </c>
      <c r="D79" s="3">
        <v>105</v>
      </c>
      <c r="E79" s="19">
        <v>719.25</v>
      </c>
      <c r="F79" s="16">
        <v>24</v>
      </c>
      <c r="G79" s="16">
        <v>2316.48</v>
      </c>
      <c r="H79" s="16">
        <v>210.7996</v>
      </c>
      <c r="I79" s="16">
        <v>2316.48</v>
      </c>
      <c r="J79" s="20">
        <v>0.3416</v>
      </c>
      <c r="K79" s="20">
        <v>0.6584</v>
      </c>
    </row>
    <row r="80">
      <c r="A80" s="3" t="s">
        <v>141</v>
      </c>
      <c r="B80" s="14" t="s">
        <v>142</v>
      </c>
      <c r="C80" s="15">
        <v>8.06</v>
      </c>
      <c r="D80" s="3">
        <v>87</v>
      </c>
      <c r="E80" s="19">
        <v>701.22</v>
      </c>
      <c r="F80" s="16">
        <v>27</v>
      </c>
      <c r="G80" s="16">
        <v>2165.42</v>
      </c>
      <c r="H80" s="16">
        <v>197.0527</v>
      </c>
      <c r="I80" s="16">
        <v>2165.42</v>
      </c>
      <c r="J80" s="20">
        <v>0.3562</v>
      </c>
      <c r="K80" s="20">
        <v>0.6438</v>
      </c>
    </row>
    <row r="81">
      <c r="A81" s="3" t="s">
        <v>143</v>
      </c>
      <c r="B81" s="14" t="s">
        <v>142</v>
      </c>
      <c r="C81" s="15">
        <v>8.06</v>
      </c>
      <c r="D81" s="3">
        <v>5</v>
      </c>
      <c r="E81" s="19">
        <v>40.300000000000004</v>
      </c>
      <c r="F81" s="16">
        <v>0</v>
      </c>
      <c r="G81" s="16">
        <v>0</v>
      </c>
      <c r="H81" s="16">
        <v>0</v>
      </c>
      <c r="I81" s="16">
        <v>0</v>
      </c>
      <c r="J81" s="28" t="s">
        <v>22</v>
      </c>
      <c r="K81" s="28" t="s">
        <v>22</v>
      </c>
    </row>
    <row r="82">
      <c r="A82" s="3" t="s">
        <v>144</v>
      </c>
      <c r="B82" s="14" t="s">
        <v>133</v>
      </c>
      <c r="C82" s="15">
        <v>1.02</v>
      </c>
      <c r="D82" s="3">
        <v>45</v>
      </c>
      <c r="E82" s="19">
        <v>45.9</v>
      </c>
      <c r="F82" s="16">
        <v>3</v>
      </c>
      <c r="G82" s="16">
        <v>135</v>
      </c>
      <c r="H82" s="16">
        <v>12.285</v>
      </c>
      <c r="I82" s="16">
        <v>135</v>
      </c>
      <c r="J82" s="20">
        <v>0.374</v>
      </c>
      <c r="K82" s="20">
        <v>0.626</v>
      </c>
    </row>
    <row r="83">
      <c r="A83" s="3" t="s">
        <v>145</v>
      </c>
      <c r="B83" s="14" t="s">
        <v>21</v>
      </c>
      <c r="C83" s="15">
        <v>0</v>
      </c>
      <c r="D83" s="3">
        <v>22</v>
      </c>
      <c r="E83" s="19">
        <v>0</v>
      </c>
      <c r="F83" s="16">
        <v>3</v>
      </c>
      <c r="G83" s="16">
        <v>66</v>
      </c>
      <c r="H83" s="16">
        <v>6.006</v>
      </c>
      <c r="I83" s="16">
        <v>66</v>
      </c>
      <c r="J83" s="28" t="s">
        <v>22</v>
      </c>
      <c r="K83" s="28" t="s">
        <v>22</v>
      </c>
    </row>
    <row r="84">
      <c r="A84" s="3" t="s">
        <v>146</v>
      </c>
      <c r="B84" s="14" t="s">
        <v>42</v>
      </c>
      <c r="C84" s="15">
        <v>3.65</v>
      </c>
      <c r="D84" s="3">
        <v>2</v>
      </c>
      <c r="E84" s="19">
        <v>7.3</v>
      </c>
      <c r="F84" s="16">
        <v>10.9</v>
      </c>
      <c r="G84" s="16">
        <v>21.8</v>
      </c>
      <c r="H84" s="16">
        <v>1.9838</v>
      </c>
      <c r="I84" s="16">
        <v>21.8</v>
      </c>
      <c r="J84" s="20">
        <v>0.3684</v>
      </c>
      <c r="K84" s="20">
        <v>0.6316</v>
      </c>
    </row>
    <row r="85">
      <c r="A85" s="3"/>
      <c r="B85" s="14"/>
      <c r="C85" s="15"/>
      <c r="D85" s="3"/>
      <c r="E85" s="19"/>
      <c r="F85" s="16"/>
      <c r="G85" s="16"/>
      <c r="H85" s="16"/>
      <c r="I85" s="16"/>
      <c r="J85" s="20"/>
      <c r="K85" s="20"/>
    </row>
    <row r="86" ht="15.75" s="3" customFormat="1">
      <c r="A86" s="22" t="s">
        <v>147</v>
      </c>
      <c r="B86" s="23"/>
      <c r="C86" s="27"/>
      <c r="D86" s="27"/>
      <c r="E86" s="24">
        <f>SUM(E7:E85)</f>
        <v>0</v>
      </c>
      <c r="F86" s="22"/>
      <c r="G86" s="22"/>
      <c r="H86" s="22"/>
      <c r="I86" s="24">
        <f>SUM(I7:I85)</f>
        <v>0</v>
      </c>
      <c r="J86" s="25" t="e">
        <f>E86/(I86/1.1)</f>
        <v>#DIV/0!</v>
      </c>
      <c r="K86" s="26" t="e">
        <f>1-J86</f>
        <v>#DIV/0!</v>
      </c>
    </row>
  </sheetData>
  <sortState ref="A7:K34">
    <sortCondition ref="C7:C34"/>
  </sortState>
  <mergeCells>
    <mergeCell ref="C86:D8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